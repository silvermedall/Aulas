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gca\Desktop\Code\Aulas\AI\aula_09_10\"/>
    </mc:Choice>
  </mc:AlternateContent>
  <xr:revisionPtr revIDLastSave="0" documentId="13_ncr:1_{4E0EA61A-15F4-47E8-B0A9-7BBEF7ABFBA9}" xr6:coauthVersionLast="47" xr6:coauthVersionMax="47" xr10:uidLastSave="{00000000-0000-0000-0000-000000000000}"/>
  <bookViews>
    <workbookView xWindow="-108" yWindow="-108" windowWidth="23256" windowHeight="12456" activeTab="3" xr2:uid="{8F1E2290-E6A5-476E-97B5-AA4640AB48ED}"/>
  </bookViews>
  <sheets>
    <sheet name="Exercicio 1" sheetId="1" r:id="rId1"/>
    <sheet name="Exercício 2" sheetId="20" r:id="rId2"/>
    <sheet name="Exercicio_3" sheetId="8" r:id="rId3"/>
    <sheet name="Exercicio_4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4" l="1"/>
  <c r="H4" i="14"/>
  <c r="H5" i="14"/>
  <c r="H6" i="14"/>
  <c r="H7" i="14"/>
  <c r="H8" i="14"/>
  <c r="G3" i="14"/>
  <c r="G4" i="14"/>
  <c r="G5" i="14"/>
  <c r="G6" i="14"/>
  <c r="G7" i="14"/>
  <c r="G8" i="14"/>
  <c r="F3" i="14"/>
  <c r="I3" i="14" s="1"/>
  <c r="F4" i="14"/>
  <c r="I4" i="14" s="1"/>
  <c r="F5" i="14"/>
  <c r="I5" i="14" s="1"/>
  <c r="F6" i="14"/>
  <c r="I6" i="14" s="1"/>
  <c r="F7" i="14"/>
  <c r="I7" i="14" s="1"/>
  <c r="F8" i="14"/>
  <c r="I8" i="14" s="1"/>
  <c r="E3" i="14"/>
  <c r="E4" i="14"/>
  <c r="E5" i="14"/>
  <c r="E6" i="14"/>
  <c r="E7" i="14"/>
  <c r="E8" i="14"/>
  <c r="E2" i="14"/>
  <c r="D3" i="14"/>
  <c r="D4" i="14"/>
  <c r="D5" i="14"/>
  <c r="D6" i="14"/>
  <c r="D7" i="14"/>
  <c r="D8" i="14"/>
  <c r="C3" i="14"/>
  <c r="C4" i="14"/>
  <c r="C5" i="14"/>
  <c r="C6" i="14"/>
  <c r="C7" i="14"/>
  <c r="C8" i="14"/>
  <c r="H2" i="14"/>
  <c r="G2" i="14"/>
  <c r="F2" i="14"/>
  <c r="J2" i="14" s="1"/>
  <c r="D2" i="14"/>
  <c r="C2" i="14"/>
  <c r="B3" i="14"/>
  <c r="B4" i="14"/>
  <c r="B5" i="14"/>
  <c r="B6" i="14"/>
  <c r="B7" i="14"/>
  <c r="B8" i="14"/>
  <c r="B2" i="14"/>
  <c r="J3" i="8"/>
  <c r="J4" i="8"/>
  <c r="J5" i="8"/>
  <c r="J6" i="8"/>
  <c r="J7" i="8"/>
  <c r="J8" i="8"/>
  <c r="J9" i="8"/>
  <c r="J10" i="8"/>
  <c r="J11" i="8"/>
  <c r="J12" i="8"/>
  <c r="J2" i="8"/>
  <c r="G3" i="8"/>
  <c r="G4" i="8"/>
  <c r="G5" i="8"/>
  <c r="G6" i="8"/>
  <c r="G7" i="8"/>
  <c r="G8" i="8"/>
  <c r="G9" i="8"/>
  <c r="G10" i="8"/>
  <c r="G11" i="8"/>
  <c r="G12" i="8"/>
  <c r="G2" i="8"/>
  <c r="E5" i="8"/>
  <c r="F5" i="8" s="1"/>
  <c r="E6" i="8"/>
  <c r="F6" i="8" s="1"/>
  <c r="E7" i="8"/>
  <c r="F7" i="8" s="1"/>
  <c r="E9" i="8"/>
  <c r="F9" i="8" s="1"/>
  <c r="E10" i="8"/>
  <c r="F10" i="8" s="1"/>
  <c r="E11" i="8"/>
  <c r="E12" i="8"/>
  <c r="F12" i="8" s="1"/>
  <c r="B3" i="8"/>
  <c r="E3" i="8" s="1"/>
  <c r="F3" i="8" s="1"/>
  <c r="B4" i="8"/>
  <c r="E4" i="8" s="1"/>
  <c r="F4" i="8" s="1"/>
  <c r="B5" i="8"/>
  <c r="B6" i="8"/>
  <c r="B7" i="8"/>
  <c r="B8" i="8"/>
  <c r="E8" i="8" s="1"/>
  <c r="F8" i="8" s="1"/>
  <c r="B9" i="8"/>
  <c r="B10" i="8"/>
  <c r="B11" i="8"/>
  <c r="B12" i="8"/>
  <c r="B2" i="8"/>
  <c r="E2" i="8" s="1"/>
  <c r="F2" i="8" s="1"/>
  <c r="E3" i="20"/>
  <c r="E4" i="20"/>
  <c r="E5" i="20"/>
  <c r="E6" i="20"/>
  <c r="E2" i="20"/>
  <c r="D3" i="20"/>
  <c r="D4" i="20"/>
  <c r="D5" i="20"/>
  <c r="D6" i="20"/>
  <c r="D2" i="20"/>
  <c r="C6" i="20"/>
  <c r="C5" i="20"/>
  <c r="C4" i="20"/>
  <c r="C3" i="20"/>
  <c r="C2" i="20"/>
  <c r="E2" i="1"/>
  <c r="D3" i="1"/>
  <c r="D4" i="1"/>
  <c r="D5" i="1"/>
  <c r="D6" i="1"/>
  <c r="D7" i="1"/>
  <c r="D8" i="1"/>
  <c r="D2" i="1"/>
  <c r="E3" i="1"/>
  <c r="E4" i="1"/>
  <c r="E5" i="1"/>
  <c r="E6" i="1"/>
  <c r="E7" i="1"/>
  <c r="E8" i="1"/>
  <c r="C3" i="1"/>
  <c r="C4" i="1"/>
  <c r="C5" i="1"/>
  <c r="C6" i="1"/>
  <c r="C7" i="1"/>
  <c r="C8" i="1"/>
  <c r="C2" i="1"/>
  <c r="F11" i="8"/>
  <c r="K8" i="14" l="1"/>
  <c r="K7" i="14"/>
  <c r="K6" i="14"/>
  <c r="K5" i="14"/>
  <c r="K4" i="14"/>
  <c r="K3" i="14"/>
  <c r="J8" i="14"/>
  <c r="J7" i="14"/>
  <c r="J6" i="14"/>
  <c r="J5" i="14"/>
  <c r="J4" i="14"/>
  <c r="J3" i="14"/>
  <c r="K2" i="14"/>
  <c r="I2" i="14"/>
</calcChain>
</file>

<file path=xl/sharedStrings.xml><?xml version="1.0" encoding="utf-8"?>
<sst xmlns="http://schemas.openxmlformats.org/spreadsheetml/2006/main" count="116" uniqueCount="97">
  <si>
    <t>Nome</t>
  </si>
  <si>
    <t>Pagamentos</t>
  </si>
  <si>
    <t>João Manuel    
    Sabrosa</t>
  </si>
  <si>
    <t>Ana Sofia    
    Gomes</t>
  </si>
  <si>
    <t>Carlos Carvalho    
    Almeida</t>
  </si>
  <si>
    <t>Diana Margarida    
    Soares</t>
  </si>
  <si>
    <t>José Faria    
    Magalhães</t>
  </si>
  <si>
    <t>Inês Pinheiro    
    Pina</t>
  </si>
  <si>
    <t>Categoria</t>
  </si>
  <si>
    <t>Preço Unitário</t>
  </si>
  <si>
    <t>Preço Final</t>
  </si>
  <si>
    <t>A</t>
  </si>
  <si>
    <t>B</t>
  </si>
  <si>
    <t>%Teclado%</t>
  </si>
  <si>
    <t>%Rato%</t>
  </si>
  <si>
    <t>%Carregador%</t>
  </si>
  <si>
    <t>%Transformador%</t>
  </si>
  <si>
    <t>%Monitor%</t>
  </si>
  <si>
    <t>%Auscultador%</t>
  </si>
  <si>
    <t>%Cabo%</t>
  </si>
  <si>
    <t>%Fio%</t>
  </si>
  <si>
    <t>%Motor%</t>
  </si>
  <si>
    <t>%Volante%</t>
  </si>
  <si>
    <t>%Manípulo%</t>
  </si>
  <si>
    <t>Texto</t>
  </si>
  <si>
    <t>12*4*2023</t>
  </si>
  <si>
    <t>5*7*2022</t>
  </si>
  <si>
    <t>12*6*2021</t>
  </si>
  <si>
    <t>1*1*2020</t>
  </si>
  <si>
    <t>Data</t>
  </si>
  <si>
    <t>Dia</t>
  </si>
  <si>
    <t>Ano</t>
  </si>
  <si>
    <t>Mes</t>
  </si>
  <si>
    <t>05*10*2022</t>
  </si>
  <si>
    <t>23*10*2024</t>
  </si>
  <si>
    <t>29*07*2028</t>
  </si>
  <si>
    <t>Hora</t>
  </si>
  <si>
    <t>a)</t>
  </si>
  <si>
    <t>b)</t>
  </si>
  <si>
    <t>c)</t>
  </si>
  <si>
    <t>Miguel Lopes    
    Fernandes</t>
  </si>
  <si>
    <t>d)1</t>
  </si>
  <si>
    <t>Primeiro Nome</t>
  </si>
  <si>
    <t>Segundo nome</t>
  </si>
  <si>
    <t>b) IVA</t>
  </si>
  <si>
    <t>e)1</t>
  </si>
  <si>
    <t>e)2</t>
  </si>
  <si>
    <t>Código Postal</t>
  </si>
  <si>
    <t>José Manuel(~"</t>
  </si>
  <si>
    <t>4620 002</t>
  </si>
  <si>
    <t>#$#Ana Clara</t>
  </si>
  <si>
    <t>3850 654</t>
  </si>
  <si>
    <t>!"#Maria Sousa#""</t>
  </si>
  <si>
    <t>5234 478</t>
  </si>
  <si>
    <t>12345Diana Margarida</t>
  </si>
  <si>
    <t>2119 357</t>
  </si>
  <si>
    <t>Miguel Lopes#5487</t>
  </si>
  <si>
    <t>3852 137</t>
  </si>
  <si>
    <t>now</t>
  </si>
  <si>
    <t>today</t>
  </si>
  <si>
    <t>Semana</t>
  </si>
  <si>
    <t>Minuto</t>
  </si>
  <si>
    <t>Segundo</t>
  </si>
  <si>
    <t>João Manuel Sabrosa Oliveira</t>
  </si>
  <si>
    <t>Ana Sofia Gomes Oliveira</t>
  </si>
  <si>
    <t>Carlos Carvalho Almeida Oliveira</t>
  </si>
  <si>
    <t>Diana Margarida Soares Oliveira</t>
  </si>
  <si>
    <t>José Faria Magalhães Oliveira</t>
  </si>
  <si>
    <t>Miguel Lopes Fernandes Oliveira</t>
  </si>
  <si>
    <t>Inês Pinheiro Pina Oliveira</t>
  </si>
  <si>
    <t>João</t>
  </si>
  <si>
    <t>Manuel</t>
  </si>
  <si>
    <t>Ana</t>
  </si>
  <si>
    <t>Sofia</t>
  </si>
  <si>
    <t>Carlos</t>
  </si>
  <si>
    <t>Carvalho</t>
  </si>
  <si>
    <t>Diana</t>
  </si>
  <si>
    <t>Margarida</t>
  </si>
  <si>
    <t>José</t>
  </si>
  <si>
    <t>Faria</t>
  </si>
  <si>
    <t>Miguel</t>
  </si>
  <si>
    <t>Lopes</t>
  </si>
  <si>
    <t>Inês</t>
  </si>
  <si>
    <t>Pinheiro</t>
  </si>
  <si>
    <t>Motor, Premium</t>
  </si>
  <si>
    <t>Cabo, Premium</t>
  </si>
  <si>
    <t>Fio, Premium</t>
  </si>
  <si>
    <t>Premium</t>
  </si>
  <si>
    <t>d)2 Tipo</t>
  </si>
  <si>
    <t>Teclado</t>
  </si>
  <si>
    <t>Rato</t>
  </si>
  <si>
    <t>Carregador</t>
  </si>
  <si>
    <t>Transformador</t>
  </si>
  <si>
    <t>Volante</t>
  </si>
  <si>
    <t>Manípulo</t>
  </si>
  <si>
    <t>Monitor</t>
  </si>
  <si>
    <t>Auscultador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</si>
</sst>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#,##0.00\ [$€-1];[Red]\-#,##0.00\ [$€-1]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wrapText="1"/>
    </xf>
    <xf numFmtId="0" fontId="0" fillId="0" borderId="2" xfId="0" applyBorder="1"/>
    <xf numFmtId="0" fontId="0" fillId="3" borderId="1" xfId="0" applyFill="1" applyBorder="1"/>
    <xf numFmtId="0" fontId="4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4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0" fillId="0" borderId="1" xfId="0" applyBorder="1"/>
    <xf numFmtId="0" fontId="2" fillId="2" borderId="4" xfId="0" applyFont="1" applyFill="1" applyBorder="1"/>
    <xf numFmtId="0" fontId="0" fillId="0" borderId="5" xfId="0" applyBorder="1"/>
    <xf numFmtId="22" fontId="0" fillId="3" borderId="1" xfId="0" applyNumberFormat="1" applyFill="1" applyBorder="1"/>
    <xf numFmtId="49" fontId="0" fillId="0" borderId="1" xfId="0" applyNumberFormat="1" applyBorder="1" applyAlignment="1">
      <alignment wrapText="1"/>
    </xf>
    <xf numFmtId="14" fontId="0" fillId="3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6136-04FE-473F-943E-C65152AD5405}">
  <sheetPr codeName="Sheet1">
    <tabColor theme="7" tint="0.39997558519241921"/>
  </sheetPr>
  <dimension ref="A1:H8"/>
  <sheetViews>
    <sheetView zoomScale="117" zoomScaleNormal="117" workbookViewId="0">
      <selection activeCell="F2" sqref="F2"/>
    </sheetView>
  </sheetViews>
  <sheetFormatPr defaultRowHeight="14.4" x14ac:dyDescent="0.3"/>
  <cols>
    <col min="1" max="1" width="15.88671875" customWidth="1"/>
    <col min="2" max="2" width="11.88671875" customWidth="1"/>
    <col min="3" max="3" width="21" bestFit="1" customWidth="1"/>
    <col min="4" max="4" width="3" bestFit="1" customWidth="1"/>
    <col min="5" max="6" width="27.88671875" bestFit="1" customWidth="1"/>
    <col min="7" max="7" width="13.77734375" bestFit="1" customWidth="1"/>
    <col min="8" max="8" width="14.44140625" bestFit="1" customWidth="1"/>
  </cols>
  <sheetData>
    <row r="1" spans="1:8" x14ac:dyDescent="0.3">
      <c r="A1" s="7" t="s">
        <v>0</v>
      </c>
      <c r="B1" s="7" t="s">
        <v>1</v>
      </c>
      <c r="C1" s="7" t="s">
        <v>37</v>
      </c>
      <c r="D1" s="7" t="s">
        <v>38</v>
      </c>
      <c r="E1" s="7" t="s">
        <v>39</v>
      </c>
      <c r="F1" s="7" t="s">
        <v>41</v>
      </c>
      <c r="G1" s="7" t="s">
        <v>42</v>
      </c>
      <c r="H1" s="9" t="s">
        <v>43</v>
      </c>
    </row>
    <row r="2" spans="1:8" ht="28.8" x14ac:dyDescent="0.3">
      <c r="A2" s="2" t="s">
        <v>2</v>
      </c>
      <c r="B2" s="8">
        <v>42.2</v>
      </c>
      <c r="C2" s="6" t="str">
        <f>TRIM(CLEAN(A2))</f>
        <v>João Manuel Sabrosa</v>
      </c>
      <c r="D2" s="6">
        <f>LEN(C2)-SEARCH("o",C2,1)</f>
        <v>17</v>
      </c>
      <c r="E2" s="6" t="str">
        <f>_xlfn.CONCAT(C2," ","Oliveira")</f>
        <v>João Manuel Sabrosa Oliveira</v>
      </c>
      <c r="F2" s="6" t="s">
        <v>63</v>
      </c>
      <c r="G2" s="6" t="s">
        <v>70</v>
      </c>
      <c r="H2" s="6" t="s">
        <v>71</v>
      </c>
    </row>
    <row r="3" spans="1:8" ht="28.8" x14ac:dyDescent="0.3">
      <c r="A3" s="2" t="s">
        <v>3</v>
      </c>
      <c r="B3" s="8">
        <v>23.6</v>
      </c>
      <c r="C3" s="6" t="str">
        <f t="shared" ref="C3:C8" si="0">TRIM(CLEAN(A3))</f>
        <v>Ana Sofia Gomes</v>
      </c>
      <c r="D3" s="6">
        <f t="shared" ref="D3:D8" si="1">LEN(C3)-SEARCH("o",C3,1)</f>
        <v>9</v>
      </c>
      <c r="E3" s="6" t="str">
        <f t="shared" ref="E3:E8" si="2">_xlfn.CONCAT(C3," ","Oliveira")</f>
        <v>Ana Sofia Gomes Oliveira</v>
      </c>
      <c r="F3" s="6" t="s">
        <v>64</v>
      </c>
      <c r="G3" s="6" t="s">
        <v>72</v>
      </c>
      <c r="H3" s="6" t="s">
        <v>73</v>
      </c>
    </row>
    <row r="4" spans="1:8" ht="28.8" x14ac:dyDescent="0.3">
      <c r="A4" s="2" t="s">
        <v>4</v>
      </c>
      <c r="B4" s="8">
        <v>12.7</v>
      </c>
      <c r="C4" s="6" t="str">
        <f t="shared" si="0"/>
        <v>Carlos Carvalho Almeida</v>
      </c>
      <c r="D4" s="6">
        <f t="shared" si="1"/>
        <v>18</v>
      </c>
      <c r="E4" s="6" t="str">
        <f t="shared" si="2"/>
        <v>Carlos Carvalho Almeida Oliveira</v>
      </c>
      <c r="F4" s="6" t="s">
        <v>65</v>
      </c>
      <c r="G4" s="6" t="s">
        <v>74</v>
      </c>
      <c r="H4" s="6" t="s">
        <v>75</v>
      </c>
    </row>
    <row r="5" spans="1:8" ht="28.8" x14ac:dyDescent="0.3">
      <c r="A5" s="2" t="s">
        <v>5</v>
      </c>
      <c r="B5" s="8">
        <v>16.8</v>
      </c>
      <c r="C5" s="6" t="str">
        <f t="shared" si="0"/>
        <v>Diana Margarida Soares</v>
      </c>
      <c r="D5" s="6">
        <f t="shared" si="1"/>
        <v>4</v>
      </c>
      <c r="E5" s="6" t="str">
        <f t="shared" si="2"/>
        <v>Diana Margarida Soares Oliveira</v>
      </c>
      <c r="F5" s="6" t="s">
        <v>66</v>
      </c>
      <c r="G5" s="6" t="s">
        <v>76</v>
      </c>
      <c r="H5" s="6" t="s">
        <v>77</v>
      </c>
    </row>
    <row r="6" spans="1:8" ht="28.8" x14ac:dyDescent="0.3">
      <c r="A6" s="2" t="s">
        <v>6</v>
      </c>
      <c r="B6" s="8">
        <v>34.6</v>
      </c>
      <c r="C6" s="6" t="str">
        <f t="shared" si="0"/>
        <v>José Faria Magalhães</v>
      </c>
      <c r="D6" s="6">
        <f t="shared" si="1"/>
        <v>18</v>
      </c>
      <c r="E6" s="6" t="str">
        <f t="shared" si="2"/>
        <v>José Faria Magalhães Oliveira</v>
      </c>
      <c r="F6" s="6" t="s">
        <v>67</v>
      </c>
      <c r="G6" s="6" t="s">
        <v>78</v>
      </c>
      <c r="H6" s="6" t="s">
        <v>79</v>
      </c>
    </row>
    <row r="7" spans="1:8" ht="28.8" x14ac:dyDescent="0.3">
      <c r="A7" s="2" t="s">
        <v>40</v>
      </c>
      <c r="B7" s="8">
        <v>25.9</v>
      </c>
      <c r="C7" s="6" t="str">
        <f t="shared" si="0"/>
        <v>Miguel Lopes Fernandes</v>
      </c>
      <c r="D7" s="6">
        <f t="shared" si="1"/>
        <v>13</v>
      </c>
      <c r="E7" s="6" t="str">
        <f t="shared" si="2"/>
        <v>Miguel Lopes Fernandes Oliveira</v>
      </c>
      <c r="F7" s="6" t="s">
        <v>68</v>
      </c>
      <c r="G7" s="6" t="s">
        <v>80</v>
      </c>
      <c r="H7" s="6" t="s">
        <v>81</v>
      </c>
    </row>
    <row r="8" spans="1:8" ht="28.8" x14ac:dyDescent="0.3">
      <c r="A8" s="2" t="s">
        <v>7</v>
      </c>
      <c r="B8" s="8">
        <v>12.6</v>
      </c>
      <c r="C8" s="6" t="str">
        <f t="shared" si="0"/>
        <v>Inês Pinheiro Pina</v>
      </c>
      <c r="D8" s="6">
        <f t="shared" si="1"/>
        <v>5</v>
      </c>
      <c r="E8" s="6" t="str">
        <f t="shared" si="2"/>
        <v>Inês Pinheiro Pina Oliveira</v>
      </c>
      <c r="F8" s="6" t="s">
        <v>69</v>
      </c>
      <c r="G8" s="6" t="s">
        <v>82</v>
      </c>
      <c r="H8" s="6" t="s">
        <v>83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5EE5-5571-4811-B01B-C7AFDF1A56E4}">
  <sheetPr>
    <tabColor theme="8" tint="0.39997558519241921"/>
  </sheetPr>
  <dimension ref="A1:E6"/>
  <sheetViews>
    <sheetView zoomScale="220" zoomScaleNormal="175" workbookViewId="0">
      <selection activeCell="E2" sqref="E2"/>
    </sheetView>
  </sheetViews>
  <sheetFormatPr defaultRowHeight="14.4" x14ac:dyDescent="0.3"/>
  <cols>
    <col min="1" max="1" width="20.5546875" bestFit="1" customWidth="1"/>
    <col min="3" max="3" width="14.5546875" bestFit="1" customWidth="1"/>
    <col min="4" max="4" width="8.6640625" bestFit="1" customWidth="1"/>
    <col min="5" max="5" width="14.21875" bestFit="1" customWidth="1"/>
  </cols>
  <sheetData>
    <row r="1" spans="1:5" x14ac:dyDescent="0.3">
      <c r="A1" s="7" t="s">
        <v>0</v>
      </c>
      <c r="B1" s="7" t="s">
        <v>47</v>
      </c>
      <c r="C1" s="7" t="s">
        <v>37</v>
      </c>
      <c r="D1" s="7" t="s">
        <v>38</v>
      </c>
      <c r="E1" s="9" t="s">
        <v>39</v>
      </c>
    </row>
    <row r="2" spans="1:5" x14ac:dyDescent="0.3">
      <c r="A2" s="12" t="s">
        <v>48</v>
      </c>
      <c r="B2" s="12" t="s">
        <v>49</v>
      </c>
      <c r="C2" s="6" t="str">
        <f>LEFT(A2,LEN(A2)-3)</f>
        <v>José Manuel</v>
      </c>
      <c r="D2" s="6" t="str">
        <f>SUBSTITUTE(B2," ","-")</f>
        <v>4620-002</v>
      </c>
      <c r="E2" s="6" t="str">
        <f>REPLACE(C2,FIND(" ",C2),2,"/#")</f>
        <v>José/#anuel</v>
      </c>
    </row>
    <row r="3" spans="1:5" x14ac:dyDescent="0.3">
      <c r="A3" s="12" t="s">
        <v>50</v>
      </c>
      <c r="B3" s="12" t="s">
        <v>51</v>
      </c>
      <c r="C3" s="6" t="str">
        <f>RIGHT(A3,LEN(A3)-3)</f>
        <v>Ana Clara</v>
      </c>
      <c r="D3" s="6" t="str">
        <f t="shared" ref="D3:D6" si="0">SUBSTITUTE(B3," ","-")</f>
        <v>3850-654</v>
      </c>
      <c r="E3" s="6" t="str">
        <f t="shared" ref="E3:E6" si="1">REPLACE(C3,FIND(" ",C3),2,"/#")</f>
        <v>Ana/#lara</v>
      </c>
    </row>
    <row r="4" spans="1:5" x14ac:dyDescent="0.3">
      <c r="A4" s="12" t="s">
        <v>52</v>
      </c>
      <c r="B4" s="12" t="s">
        <v>53</v>
      </c>
      <c r="C4" s="6" t="str">
        <f>MID(A4,4,LEN(A4)-6)</f>
        <v>Maria Sousa</v>
      </c>
      <c r="D4" s="6" t="str">
        <f t="shared" si="0"/>
        <v>5234-478</v>
      </c>
      <c r="E4" s="6" t="str">
        <f t="shared" si="1"/>
        <v>Maria/#ousa</v>
      </c>
    </row>
    <row r="5" spans="1:5" x14ac:dyDescent="0.3">
      <c r="A5" s="12" t="s">
        <v>54</v>
      </c>
      <c r="B5" s="12" t="s">
        <v>55</v>
      </c>
      <c r="C5" s="6" t="str">
        <f>RIGHT(A5,LEN(A5)-5)</f>
        <v>Diana Margarida</v>
      </c>
      <c r="D5" s="6" t="str">
        <f t="shared" si="0"/>
        <v>2119-357</v>
      </c>
      <c r="E5" s="6" t="str">
        <f t="shared" si="1"/>
        <v>Diana/#argarida</v>
      </c>
    </row>
    <row r="6" spans="1:5" x14ac:dyDescent="0.3">
      <c r="A6" s="12" t="s">
        <v>56</v>
      </c>
      <c r="B6" s="12" t="s">
        <v>57</v>
      </c>
      <c r="C6" s="6" t="str">
        <f>LEFT(A6,LEN(A6)-5)</f>
        <v>Miguel Lopes</v>
      </c>
      <c r="D6" s="6" t="str">
        <f t="shared" si="0"/>
        <v>3852-137</v>
      </c>
      <c r="E6" s="6" t="str">
        <f t="shared" si="1"/>
        <v>Miguel/#opes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E555-8A76-4E28-AE58-EBCD7CEC31D1}">
  <sheetPr codeName="Sheet7">
    <tabColor theme="5" tint="0.39997558519241921"/>
  </sheetPr>
  <dimension ref="A1:K12"/>
  <sheetViews>
    <sheetView zoomScale="130" zoomScaleNormal="160" workbookViewId="0">
      <selection activeCell="J2" sqref="J2"/>
    </sheetView>
  </sheetViews>
  <sheetFormatPr defaultRowHeight="14.4" x14ac:dyDescent="0.3"/>
  <cols>
    <col min="1" max="1" width="16.33203125" bestFit="1" customWidth="1"/>
    <col min="2" max="2" width="15.88671875" customWidth="1"/>
    <col min="3" max="3" width="10.88671875" customWidth="1"/>
    <col min="4" max="4" width="13.109375" customWidth="1"/>
    <col min="5" max="5" width="10.33203125" customWidth="1"/>
    <col min="6" max="6" width="11.88671875" customWidth="1"/>
    <col min="7" max="8" width="14.77734375" bestFit="1" customWidth="1"/>
    <col min="9" max="9" width="14.77734375" customWidth="1"/>
    <col min="10" max="10" width="15.44140625" customWidth="1"/>
    <col min="11" max="11" width="14.44140625" customWidth="1"/>
  </cols>
  <sheetData>
    <row r="1" spans="1:11" x14ac:dyDescent="0.3">
      <c r="A1" s="1" t="s">
        <v>0</v>
      </c>
      <c r="B1" s="7" t="s">
        <v>37</v>
      </c>
      <c r="C1" s="1" t="s">
        <v>8</v>
      </c>
      <c r="D1" s="1" t="s">
        <v>9</v>
      </c>
      <c r="E1" s="7" t="s">
        <v>44</v>
      </c>
      <c r="F1" s="1" t="s">
        <v>10</v>
      </c>
      <c r="G1" s="9" t="s">
        <v>39</v>
      </c>
      <c r="H1" s="9" t="s">
        <v>41</v>
      </c>
      <c r="I1" s="9" t="s">
        <v>88</v>
      </c>
      <c r="J1" s="9" t="s">
        <v>45</v>
      </c>
      <c r="K1" s="9" t="s">
        <v>46</v>
      </c>
    </row>
    <row r="2" spans="1:11" x14ac:dyDescent="0.3">
      <c r="A2" s="2" t="s">
        <v>13</v>
      </c>
      <c r="B2" s="10" t="str">
        <f>SUBSTITUTE(A2,"%","")</f>
        <v>Teclado</v>
      </c>
      <c r="C2" s="2" t="s">
        <v>11</v>
      </c>
      <c r="D2" s="4">
        <v>52.33</v>
      </c>
      <c r="E2" s="11">
        <f>IF(C2="A",IF(SEARCH("a",B2)&gt;1,0.2,0.23),0.23)</f>
        <v>0.2</v>
      </c>
      <c r="F2" s="3">
        <f>D2*(1+E2)</f>
        <v>62.795999999999992</v>
      </c>
      <c r="G2" s="6" t="str">
        <f>IF(C2="B",IF(LEN(B2)&lt;6,_xlfn.CONCAT(B2,", ","Premium"),B2),B2)</f>
        <v>Teclado</v>
      </c>
      <c r="H2" s="6" t="s">
        <v>89</v>
      </c>
      <c r="I2" s="6"/>
      <c r="J2" s="6" t="str">
        <f>IF(FIND("o",B2)=2,REPLACE(B2,1,1,"R"),IF(FIND("o",B2)&gt;2,REPLACE(B2,FIND("o",B2)-1,1,"r")))</f>
        <v>Teclaro</v>
      </c>
      <c r="K2" s="6"/>
    </row>
    <row r="3" spans="1:11" x14ac:dyDescent="0.3">
      <c r="A3" s="2" t="s">
        <v>14</v>
      </c>
      <c r="B3" s="10" t="str">
        <f t="shared" ref="B3:B12" si="0">SUBSTITUTE(A3,"%","")</f>
        <v>Rato</v>
      </c>
      <c r="C3" s="2" t="s">
        <v>11</v>
      </c>
      <c r="D3" s="4">
        <v>25.98</v>
      </c>
      <c r="E3" s="11">
        <f t="shared" ref="E3:E12" si="1">IF(C3="A",IF(SEARCH("a",B3)&gt;1,0.2,0.23),0.23)</f>
        <v>0.2</v>
      </c>
      <c r="F3" s="3">
        <f t="shared" ref="F3:F12" si="2">D3*(1+E3)</f>
        <v>31.175999999999998</v>
      </c>
      <c r="G3" s="6" t="str">
        <f t="shared" ref="G3:G12" si="3">IF(C3="B",IF(LEN(B3)&lt;6,_xlfn.CONCAT(B3,", ","Premium"),B3),B3)</f>
        <v>Rato</v>
      </c>
      <c r="H3" s="6" t="s">
        <v>90</v>
      </c>
      <c r="I3" s="6"/>
      <c r="J3" s="6" t="str">
        <f t="shared" ref="J3:J12" si="4">IF(FIND("o",B3)=2,REPLACE(B3,1,1,"R"),IF(FIND("o",B3)&gt;2,REPLACE(B3,FIND("o",B3)-1,1,"r")))</f>
        <v>Raro</v>
      </c>
      <c r="K3" s="6"/>
    </row>
    <row r="4" spans="1:11" x14ac:dyDescent="0.3">
      <c r="A4" s="2" t="s">
        <v>15</v>
      </c>
      <c r="B4" s="10" t="str">
        <f t="shared" si="0"/>
        <v>Carregador</v>
      </c>
      <c r="C4" s="2" t="s">
        <v>11</v>
      </c>
      <c r="D4" s="4">
        <v>32.450000000000003</v>
      </c>
      <c r="E4" s="11">
        <f t="shared" si="1"/>
        <v>0.2</v>
      </c>
      <c r="F4" s="3">
        <f t="shared" si="2"/>
        <v>38.940000000000005</v>
      </c>
      <c r="G4" s="6" t="str">
        <f t="shared" si="3"/>
        <v>Carregador</v>
      </c>
      <c r="H4" s="6" t="s">
        <v>91</v>
      </c>
      <c r="I4" s="6"/>
      <c r="J4" s="6" t="str">
        <f t="shared" si="4"/>
        <v>Carregaror</v>
      </c>
      <c r="K4" s="6"/>
    </row>
    <row r="5" spans="1:11" ht="15.6" customHeight="1" x14ac:dyDescent="0.3">
      <c r="A5" s="2" t="s">
        <v>16</v>
      </c>
      <c r="B5" s="10" t="str">
        <f t="shared" si="0"/>
        <v>Transformador</v>
      </c>
      <c r="C5" s="2" t="s">
        <v>12</v>
      </c>
      <c r="D5" s="4">
        <v>16.78</v>
      </c>
      <c r="E5" s="11">
        <f t="shared" si="1"/>
        <v>0.23</v>
      </c>
      <c r="F5" s="3">
        <f t="shared" si="2"/>
        <v>20.639400000000002</v>
      </c>
      <c r="G5" s="6" t="str">
        <f t="shared" si="3"/>
        <v>Transformador</v>
      </c>
      <c r="H5" s="6" t="s">
        <v>92</v>
      </c>
      <c r="I5" s="6"/>
      <c r="J5" s="6" t="str">
        <f t="shared" si="4"/>
        <v>Transrormador</v>
      </c>
      <c r="K5" s="6"/>
    </row>
    <row r="6" spans="1:11" x14ac:dyDescent="0.3">
      <c r="A6" s="2" t="s">
        <v>21</v>
      </c>
      <c r="B6" s="10" t="str">
        <f t="shared" si="0"/>
        <v>Motor</v>
      </c>
      <c r="C6" s="2" t="s">
        <v>12</v>
      </c>
      <c r="D6" s="4">
        <v>255.13</v>
      </c>
      <c r="E6" s="11">
        <f t="shared" si="1"/>
        <v>0.23</v>
      </c>
      <c r="F6" s="3">
        <f t="shared" si="2"/>
        <v>313.80989999999997</v>
      </c>
      <c r="G6" s="6" t="str">
        <f t="shared" si="3"/>
        <v>Motor, Premium</v>
      </c>
      <c r="H6" s="6" t="s">
        <v>84</v>
      </c>
      <c r="I6" s="6" t="s">
        <v>87</v>
      </c>
      <c r="J6" s="6" t="str">
        <f t="shared" si="4"/>
        <v>Rotor</v>
      </c>
      <c r="K6" s="6"/>
    </row>
    <row r="7" spans="1:11" x14ac:dyDescent="0.3">
      <c r="A7" s="2" t="s">
        <v>22</v>
      </c>
      <c r="B7" s="10" t="str">
        <f t="shared" si="0"/>
        <v>Volante</v>
      </c>
      <c r="C7" s="2" t="s">
        <v>12</v>
      </c>
      <c r="D7" s="4">
        <v>123.21</v>
      </c>
      <c r="E7" s="11">
        <f t="shared" si="1"/>
        <v>0.23</v>
      </c>
      <c r="F7" s="3">
        <f t="shared" si="2"/>
        <v>151.54829999999998</v>
      </c>
      <c r="G7" s="6" t="str">
        <f t="shared" si="3"/>
        <v>Volante</v>
      </c>
      <c r="H7" s="6" t="s">
        <v>93</v>
      </c>
      <c r="I7" s="6"/>
      <c r="J7" s="6" t="str">
        <f t="shared" si="4"/>
        <v>Rolante</v>
      </c>
      <c r="K7" s="6"/>
    </row>
    <row r="8" spans="1:11" x14ac:dyDescent="0.3">
      <c r="A8" s="2" t="s">
        <v>23</v>
      </c>
      <c r="B8" s="10" t="str">
        <f t="shared" si="0"/>
        <v>Manípulo</v>
      </c>
      <c r="C8" s="2" t="s">
        <v>11</v>
      </c>
      <c r="D8" s="4">
        <v>5.78</v>
      </c>
      <c r="E8" s="11">
        <f t="shared" si="1"/>
        <v>0.2</v>
      </c>
      <c r="F8" s="3">
        <f t="shared" si="2"/>
        <v>6.9359999999999999</v>
      </c>
      <c r="G8" s="6" t="str">
        <f t="shared" si="3"/>
        <v>Manípulo</v>
      </c>
      <c r="H8" s="6" t="s">
        <v>94</v>
      </c>
      <c r="I8" s="6"/>
      <c r="J8" s="6" t="str">
        <f t="shared" si="4"/>
        <v>Manípuro</v>
      </c>
      <c r="K8" s="6"/>
    </row>
    <row r="9" spans="1:11" x14ac:dyDescent="0.3">
      <c r="A9" s="2" t="s">
        <v>17</v>
      </c>
      <c r="B9" s="10" t="str">
        <f t="shared" si="0"/>
        <v>Monitor</v>
      </c>
      <c r="C9" s="2" t="s">
        <v>12</v>
      </c>
      <c r="D9" s="4">
        <v>49.89</v>
      </c>
      <c r="E9" s="11">
        <f t="shared" si="1"/>
        <v>0.23</v>
      </c>
      <c r="F9" s="3">
        <f t="shared" si="2"/>
        <v>61.364699999999999</v>
      </c>
      <c r="G9" s="6" t="str">
        <f t="shared" si="3"/>
        <v>Monitor</v>
      </c>
      <c r="H9" s="6" t="s">
        <v>95</v>
      </c>
      <c r="I9" s="6"/>
      <c r="J9" s="6" t="str">
        <f t="shared" si="4"/>
        <v>Ronitor</v>
      </c>
      <c r="K9" s="6"/>
    </row>
    <row r="10" spans="1:11" x14ac:dyDescent="0.3">
      <c r="A10" s="2" t="s">
        <v>18</v>
      </c>
      <c r="B10" s="10" t="str">
        <f t="shared" si="0"/>
        <v>Auscultador</v>
      </c>
      <c r="C10" s="2" t="s">
        <v>12</v>
      </c>
      <c r="D10" s="4">
        <v>12.9</v>
      </c>
      <c r="E10" s="11">
        <f t="shared" si="1"/>
        <v>0.23</v>
      </c>
      <c r="F10" s="3">
        <f t="shared" si="2"/>
        <v>15.867000000000001</v>
      </c>
      <c r="G10" s="6" t="str">
        <f t="shared" si="3"/>
        <v>Auscultador</v>
      </c>
      <c r="H10" s="6" t="s">
        <v>96</v>
      </c>
      <c r="I10" s="6"/>
      <c r="J10" s="6" t="str">
        <f t="shared" si="4"/>
        <v>Auscultaror</v>
      </c>
      <c r="K10" s="6"/>
    </row>
    <row r="11" spans="1:11" x14ac:dyDescent="0.3">
      <c r="A11" s="2" t="s">
        <v>19</v>
      </c>
      <c r="B11" s="10" t="str">
        <f t="shared" si="0"/>
        <v>Cabo</v>
      </c>
      <c r="C11" s="2" t="s">
        <v>12</v>
      </c>
      <c r="D11" s="4">
        <v>2.74</v>
      </c>
      <c r="E11" s="11">
        <f t="shared" si="1"/>
        <v>0.23</v>
      </c>
      <c r="F11" s="3">
        <f t="shared" si="2"/>
        <v>3.3702000000000001</v>
      </c>
      <c r="G11" s="6" t="str">
        <f t="shared" si="3"/>
        <v>Cabo, Premium</v>
      </c>
      <c r="H11" s="6" t="s">
        <v>85</v>
      </c>
      <c r="I11" s="6" t="s">
        <v>87</v>
      </c>
      <c r="J11" s="6" t="str">
        <f t="shared" si="4"/>
        <v>Caro</v>
      </c>
      <c r="K11" s="6"/>
    </row>
    <row r="12" spans="1:11" x14ac:dyDescent="0.3">
      <c r="A12" s="2" t="s">
        <v>20</v>
      </c>
      <c r="B12" s="10" t="str">
        <f t="shared" si="0"/>
        <v>Fio</v>
      </c>
      <c r="C12" s="2" t="s">
        <v>12</v>
      </c>
      <c r="D12" s="4">
        <v>1.29</v>
      </c>
      <c r="E12" s="11">
        <f t="shared" si="1"/>
        <v>0.23</v>
      </c>
      <c r="F12" s="3">
        <f t="shared" si="2"/>
        <v>1.5867</v>
      </c>
      <c r="G12" s="6" t="str">
        <f t="shared" si="3"/>
        <v>Fio, Premium</v>
      </c>
      <c r="H12" s="6" t="s">
        <v>86</v>
      </c>
      <c r="I12" s="6" t="s">
        <v>87</v>
      </c>
      <c r="J12" s="6" t="str">
        <f t="shared" si="4"/>
        <v>Fro</v>
      </c>
      <c r="K1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C200-AEE0-49FB-A417-F218A3ACE6E3}">
  <sheetPr codeName="Sheet13">
    <tabColor theme="9" tint="0.39997558519241921"/>
  </sheetPr>
  <dimension ref="A1:K9"/>
  <sheetViews>
    <sheetView tabSelected="1" topLeftCell="B1" zoomScale="164" zoomScaleNormal="175" workbookViewId="0">
      <selection activeCell="K2" sqref="K2:K8"/>
    </sheetView>
  </sheetViews>
  <sheetFormatPr defaultColWidth="8.6640625" defaultRowHeight="14.4" x14ac:dyDescent="0.3"/>
  <cols>
    <col min="1" max="1" width="15.88671875" style="5" customWidth="1"/>
    <col min="2" max="2" width="11.109375" style="5" bestFit="1" customWidth="1"/>
    <col min="3" max="5" width="8.6640625" style="5"/>
    <col min="6" max="6" width="16.44140625" style="5" bestFit="1" customWidth="1"/>
    <col min="7" max="7" width="10.5546875" style="5" bestFit="1" customWidth="1"/>
    <col min="8" max="8" width="10.5546875" style="5" customWidth="1"/>
    <col min="9" max="16384" width="8.6640625" style="5"/>
  </cols>
  <sheetData>
    <row r="1" spans="1:11" x14ac:dyDescent="0.3">
      <c r="A1" s="13" t="s">
        <v>24</v>
      </c>
      <c r="B1" s="13" t="s">
        <v>29</v>
      </c>
      <c r="C1" s="13" t="s">
        <v>30</v>
      </c>
      <c r="D1" s="13" t="s">
        <v>32</v>
      </c>
      <c r="E1" s="13" t="s">
        <v>31</v>
      </c>
      <c r="F1" s="13" t="s">
        <v>58</v>
      </c>
      <c r="G1" s="13" t="s">
        <v>59</v>
      </c>
      <c r="H1" s="13" t="s">
        <v>60</v>
      </c>
      <c r="I1" s="13" t="s">
        <v>36</v>
      </c>
      <c r="J1" s="13" t="s">
        <v>61</v>
      </c>
      <c r="K1" s="13" t="s">
        <v>62</v>
      </c>
    </row>
    <row r="2" spans="1:11" x14ac:dyDescent="0.3">
      <c r="A2" s="16" t="s">
        <v>33</v>
      </c>
      <c r="B2" s="17" t="str">
        <f>SUBSTITUTE(A2,"*","/")</f>
        <v>05/10/2022</v>
      </c>
      <c r="C2" s="6">
        <f>DAY(B2)</f>
        <v>5</v>
      </c>
      <c r="D2" s="6">
        <f>MONTH(B2)</f>
        <v>10</v>
      </c>
      <c r="E2" s="6">
        <f>YEAR(B2)</f>
        <v>2022</v>
      </c>
      <c r="F2" s="15">
        <f ca="1">NOW()</f>
        <v>45939.913902314816</v>
      </c>
      <c r="G2" s="17">
        <f ca="1">TODAY()</f>
        <v>45939</v>
      </c>
      <c r="H2" s="6">
        <f>WEEKNUM(B2,1)</f>
        <v>41</v>
      </c>
      <c r="I2" s="6">
        <f ca="1">HOUR(F2)</f>
        <v>21</v>
      </c>
      <c r="J2" s="6">
        <f ca="1">MINUTE(F2)</f>
        <v>56</v>
      </c>
      <c r="K2" s="6">
        <f ca="1">SECOND(F2)</f>
        <v>1</v>
      </c>
    </row>
    <row r="3" spans="1:11" x14ac:dyDescent="0.3">
      <c r="A3" s="16" t="s">
        <v>25</v>
      </c>
      <c r="B3" s="17" t="str">
        <f t="shared" ref="B3:B8" si="0">SUBSTITUTE(A3,"*","/")</f>
        <v>12/4/2023</v>
      </c>
      <c r="C3" s="6">
        <f t="shared" ref="C3:C8" si="1">DAY(B3)</f>
        <v>12</v>
      </c>
      <c r="D3" s="6">
        <f t="shared" ref="D3:D8" si="2">MONTH(B3)</f>
        <v>4</v>
      </c>
      <c r="E3" s="6">
        <f t="shared" ref="E3:E8" si="3">YEAR(B3)</f>
        <v>2023</v>
      </c>
      <c r="F3" s="15">
        <f t="shared" ref="F3:F8" ca="1" si="4">NOW()</f>
        <v>45939.913902314816</v>
      </c>
      <c r="G3" s="17">
        <f t="shared" ref="G3:G8" ca="1" si="5">TODAY()</f>
        <v>45939</v>
      </c>
      <c r="H3" s="6">
        <f t="shared" ref="H3:H8" si="6">WEEKNUM(B3,1)</f>
        <v>15</v>
      </c>
      <c r="I3" s="6">
        <f t="shared" ref="I3:I8" ca="1" si="7">HOUR(F3)</f>
        <v>21</v>
      </c>
      <c r="J3" s="6">
        <f t="shared" ref="J3:J8" ca="1" si="8">MINUTE(F3)</f>
        <v>56</v>
      </c>
      <c r="K3" s="6">
        <f t="shared" ref="K3:K8" ca="1" si="9">SECOND(F3)</f>
        <v>1</v>
      </c>
    </row>
    <row r="4" spans="1:11" x14ac:dyDescent="0.3">
      <c r="A4" s="16" t="s">
        <v>26</v>
      </c>
      <c r="B4" s="17" t="str">
        <f t="shared" si="0"/>
        <v>5/7/2022</v>
      </c>
      <c r="C4" s="6">
        <f t="shared" si="1"/>
        <v>5</v>
      </c>
      <c r="D4" s="6">
        <f t="shared" si="2"/>
        <v>7</v>
      </c>
      <c r="E4" s="6">
        <f t="shared" si="3"/>
        <v>2022</v>
      </c>
      <c r="F4" s="15">
        <f t="shared" ca="1" si="4"/>
        <v>45939.913902314816</v>
      </c>
      <c r="G4" s="17">
        <f t="shared" ca="1" si="5"/>
        <v>45939</v>
      </c>
      <c r="H4" s="6">
        <f t="shared" si="6"/>
        <v>28</v>
      </c>
      <c r="I4" s="6">
        <f t="shared" ca="1" si="7"/>
        <v>21</v>
      </c>
      <c r="J4" s="6">
        <f t="shared" ca="1" si="8"/>
        <v>56</v>
      </c>
      <c r="K4" s="6">
        <f t="shared" ca="1" si="9"/>
        <v>1</v>
      </c>
    </row>
    <row r="5" spans="1:11" ht="15.6" customHeight="1" x14ac:dyDescent="0.3">
      <c r="A5" s="16" t="s">
        <v>27</v>
      </c>
      <c r="B5" s="17" t="str">
        <f t="shared" si="0"/>
        <v>12/6/2021</v>
      </c>
      <c r="C5" s="6">
        <f t="shared" si="1"/>
        <v>12</v>
      </c>
      <c r="D5" s="6">
        <f t="shared" si="2"/>
        <v>6</v>
      </c>
      <c r="E5" s="6">
        <f t="shared" si="3"/>
        <v>2021</v>
      </c>
      <c r="F5" s="15">
        <f t="shared" ca="1" si="4"/>
        <v>45939.913902314816</v>
      </c>
      <c r="G5" s="17">
        <f t="shared" ca="1" si="5"/>
        <v>45939</v>
      </c>
      <c r="H5" s="6">
        <f t="shared" si="6"/>
        <v>24</v>
      </c>
      <c r="I5" s="6">
        <f t="shared" ca="1" si="7"/>
        <v>21</v>
      </c>
      <c r="J5" s="6">
        <f t="shared" ca="1" si="8"/>
        <v>56</v>
      </c>
      <c r="K5" s="6">
        <f t="shared" ca="1" si="9"/>
        <v>1</v>
      </c>
    </row>
    <row r="6" spans="1:11" x14ac:dyDescent="0.3">
      <c r="A6" s="16" t="s">
        <v>34</v>
      </c>
      <c r="B6" s="17" t="str">
        <f t="shared" si="0"/>
        <v>23/10/2024</v>
      </c>
      <c r="C6" s="6">
        <f t="shared" si="1"/>
        <v>23</v>
      </c>
      <c r="D6" s="6">
        <f t="shared" si="2"/>
        <v>10</v>
      </c>
      <c r="E6" s="6">
        <f t="shared" si="3"/>
        <v>2024</v>
      </c>
      <c r="F6" s="15">
        <f t="shared" ca="1" si="4"/>
        <v>45939.913902314816</v>
      </c>
      <c r="G6" s="17">
        <f t="shared" ca="1" si="5"/>
        <v>45939</v>
      </c>
      <c r="H6" s="6">
        <f t="shared" si="6"/>
        <v>43</v>
      </c>
      <c r="I6" s="6">
        <f t="shared" ca="1" si="7"/>
        <v>21</v>
      </c>
      <c r="J6" s="6">
        <f t="shared" ca="1" si="8"/>
        <v>56</v>
      </c>
      <c r="K6" s="6">
        <f t="shared" ca="1" si="9"/>
        <v>1</v>
      </c>
    </row>
    <row r="7" spans="1:11" x14ac:dyDescent="0.3">
      <c r="A7" s="16" t="s">
        <v>28</v>
      </c>
      <c r="B7" s="17" t="str">
        <f t="shared" si="0"/>
        <v>1/1/2020</v>
      </c>
      <c r="C7" s="6">
        <f t="shared" si="1"/>
        <v>1</v>
      </c>
      <c r="D7" s="6">
        <f t="shared" si="2"/>
        <v>1</v>
      </c>
      <c r="E7" s="6">
        <f t="shared" si="3"/>
        <v>2020</v>
      </c>
      <c r="F7" s="15">
        <f t="shared" ca="1" si="4"/>
        <v>45939.913902314816</v>
      </c>
      <c r="G7" s="17">
        <f t="shared" ca="1" si="5"/>
        <v>45939</v>
      </c>
      <c r="H7" s="6">
        <f t="shared" si="6"/>
        <v>1</v>
      </c>
      <c r="I7" s="6">
        <f t="shared" ca="1" si="7"/>
        <v>21</v>
      </c>
      <c r="J7" s="6">
        <f t="shared" ca="1" si="8"/>
        <v>56</v>
      </c>
      <c r="K7" s="6">
        <f t="shared" ca="1" si="9"/>
        <v>1</v>
      </c>
    </row>
    <row r="8" spans="1:11" x14ac:dyDescent="0.3">
      <c r="A8" s="16" t="s">
        <v>35</v>
      </c>
      <c r="B8" s="17" t="str">
        <f t="shared" si="0"/>
        <v>29/07/2028</v>
      </c>
      <c r="C8" s="6">
        <f t="shared" si="1"/>
        <v>29</v>
      </c>
      <c r="D8" s="6">
        <f t="shared" si="2"/>
        <v>7</v>
      </c>
      <c r="E8" s="6">
        <f t="shared" si="3"/>
        <v>2028</v>
      </c>
      <c r="F8" s="15">
        <f t="shared" ca="1" si="4"/>
        <v>45939.913902314816</v>
      </c>
      <c r="G8" s="17">
        <f t="shared" ca="1" si="5"/>
        <v>45939</v>
      </c>
      <c r="H8" s="6">
        <f t="shared" si="6"/>
        <v>31</v>
      </c>
      <c r="I8" s="6">
        <f t="shared" ca="1" si="7"/>
        <v>21</v>
      </c>
      <c r="J8" s="6">
        <f t="shared" ca="1" si="8"/>
        <v>56</v>
      </c>
      <c r="K8" s="6">
        <f t="shared" ca="1" si="9"/>
        <v>1</v>
      </c>
    </row>
    <row r="9" spans="1:11" x14ac:dyDescent="0.3">
      <c r="A9" s="14"/>
      <c r="B9" s="14"/>
      <c r="C9" s="14"/>
      <c r="D9" s="14"/>
      <c r="E9" s="14"/>
      <c r="F9" s="14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B842600A0E964EBE88117445EBED7E" ma:contentTypeVersion="3" ma:contentTypeDescription="Criar um novo documento." ma:contentTypeScope="" ma:versionID="a725027eae200caf851bbd21b1eec2ae">
  <xsd:schema xmlns:xsd="http://www.w3.org/2001/XMLSchema" xmlns:xs="http://www.w3.org/2001/XMLSchema" xmlns:p="http://schemas.microsoft.com/office/2006/metadata/properties" xmlns:ns2="6c96d2b1-6fa3-4456-a494-3ce8b45afc84" targetNamespace="http://schemas.microsoft.com/office/2006/metadata/properties" ma:root="true" ma:fieldsID="6ff97e10b6262e29b4dd2ec9a7639a85" ns2:_="">
    <xsd:import namespace="6c96d2b1-6fa3-4456-a494-3ce8b45afc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6d2b1-6fa3-4456-a494-3ce8b45af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B4BF97-8FED-4AF8-9174-4E59131F06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6d2b1-6fa3-4456-a494-3ce8b45afc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D331EC-60FB-4D22-8AA4-94D6DAB3265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96A4EA-CBD1-41F6-8057-2C4A1B52E9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Exercicio 1</vt:lpstr>
      <vt:lpstr>Exercício 2</vt:lpstr>
      <vt:lpstr>Exercicio_3</vt:lpstr>
      <vt:lpstr>Exercicio_4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Correia</dc:creator>
  <cp:lastModifiedBy>Paulo Carvalho</cp:lastModifiedBy>
  <dcterms:created xsi:type="dcterms:W3CDTF">2022-10-08T12:38:12Z</dcterms:created>
  <dcterms:modified xsi:type="dcterms:W3CDTF">2025-10-09T20:56:03Z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0x0101006CB842600A0E964EBE88117445EBED7E</vt:lpwstr>
  </property>
</Properties>
</file>