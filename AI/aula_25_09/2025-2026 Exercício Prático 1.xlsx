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gca\Desktop\Code\Aulas\AI\aula_25_09\"/>
    </mc:Choice>
  </mc:AlternateContent>
  <xr:revisionPtr revIDLastSave="0" documentId="13_ncr:1_{52590F50-CCFC-40E5-AD8C-3C4D48EAD2AD}" xr6:coauthVersionLast="47" xr6:coauthVersionMax="47" xr10:uidLastSave="{00000000-0000-0000-0000-000000000000}"/>
  <bookViews>
    <workbookView xWindow="-108" yWindow="-108" windowWidth="23256" windowHeight="12456" xr2:uid="{866D9D0B-75C5-4D4F-9C34-26B047161613}"/>
  </bookViews>
  <sheets>
    <sheet name="Ex.1" sheetId="1" r:id="rId1"/>
  </sheets>
  <definedNames>
    <definedName name="_xlnm._FilterDatabase" localSheetId="0" hidden="1">Ex.1!$A$2:$G$21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C24" i="1"/>
  <c r="B24" i="1"/>
  <c r="D4" i="1"/>
  <c r="E4" i="1" s="1"/>
  <c r="F4" i="1" s="1" a="1"/>
  <c r="F4" i="1" s="1"/>
  <c r="D5" i="1"/>
  <c r="E5" i="1" s="1"/>
  <c r="F5" i="1" s="1" a="1"/>
  <c r="F5" i="1" s="1"/>
  <c r="D6" i="1"/>
  <c r="E6" i="1" s="1"/>
  <c r="F6" i="1" s="1" a="1"/>
  <c r="F6" i="1" s="1"/>
  <c r="D7" i="1"/>
  <c r="E7" i="1" s="1"/>
  <c r="F7" i="1" s="1" a="1"/>
  <c r="F7" i="1" s="1"/>
  <c r="D8" i="1"/>
  <c r="E8" i="1" s="1"/>
  <c r="F8" i="1" s="1" a="1"/>
  <c r="F8" i="1" s="1"/>
  <c r="D9" i="1"/>
  <c r="E9" i="1" s="1"/>
  <c r="F9" i="1" s="1" a="1"/>
  <c r="F9" i="1" s="1"/>
  <c r="D10" i="1"/>
  <c r="E10" i="1" s="1"/>
  <c r="F10" i="1" s="1" a="1"/>
  <c r="F10" i="1" s="1"/>
  <c r="D11" i="1"/>
  <c r="E11" i="1" s="1"/>
  <c r="F11" i="1" s="1" a="1"/>
  <c r="F11" i="1" s="1"/>
  <c r="D12" i="1"/>
  <c r="E12" i="1" s="1"/>
  <c r="F12" i="1" s="1" a="1"/>
  <c r="F12" i="1" s="1"/>
  <c r="D13" i="1"/>
  <c r="E13" i="1" s="1"/>
  <c r="F13" i="1" s="1" a="1"/>
  <c r="F13" i="1" s="1"/>
  <c r="D14" i="1"/>
  <c r="E14" i="1" s="1"/>
  <c r="F14" i="1" s="1" a="1"/>
  <c r="F14" i="1" s="1"/>
  <c r="D15" i="1"/>
  <c r="E15" i="1" s="1"/>
  <c r="F15" i="1" s="1" a="1"/>
  <c r="F15" i="1" s="1"/>
  <c r="D16" i="1"/>
  <c r="E16" i="1" s="1"/>
  <c r="F16" i="1" s="1" a="1"/>
  <c r="F16" i="1" s="1"/>
  <c r="D17" i="1"/>
  <c r="E17" i="1" s="1"/>
  <c r="F17" i="1" s="1" a="1"/>
  <c r="F17" i="1" s="1"/>
  <c r="D18" i="1"/>
  <c r="E18" i="1" s="1"/>
  <c r="F18" i="1" s="1" a="1"/>
  <c r="F18" i="1" s="1"/>
  <c r="D19" i="1"/>
  <c r="E19" i="1" s="1"/>
  <c r="F19" i="1" s="1" a="1"/>
  <c r="F19" i="1" s="1"/>
  <c r="D20" i="1"/>
  <c r="E20" i="1" s="1"/>
  <c r="F20" i="1" s="1" a="1"/>
  <c r="F20" i="1" s="1"/>
  <c r="D21" i="1"/>
  <c r="E21" i="1" s="1"/>
  <c r="F21" i="1" s="1" a="1"/>
  <c r="F21" i="1" s="1"/>
  <c r="D3" i="1"/>
  <c r="D24" i="1" l="1"/>
  <c r="E3" i="1"/>
  <c r="F3" i="1" s="1" a="1"/>
  <c r="F3" i="1" s="1"/>
  <c r="F24" i="1" s="1"/>
  <c r="I30" i="1"/>
  <c r="I29" i="1"/>
  <c r="I26" i="1"/>
  <c r="I2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<sst xmlns="http://schemas.openxmlformats.org/spreadsheetml/2006/main" count="40" uniqueCount="27">
  <si>
    <t>Nome</t>
  </si>
  <si>
    <t>Qtd</t>
  </si>
  <si>
    <t>Valor Total Vendas</t>
  </si>
  <si>
    <t>Data Venda</t>
  </si>
  <si>
    <t>Filipa</t>
  </si>
  <si>
    <t>Miguel</t>
  </si>
  <si>
    <t>Rita</t>
  </si>
  <si>
    <t>Rui</t>
  </si>
  <si>
    <t>Carlos</t>
  </si>
  <si>
    <t>Joana</t>
  </si>
  <si>
    <t>SUBTOTAL</t>
  </si>
  <si>
    <t>Formatação Condicional</t>
  </si>
  <si>
    <t>2a) Conte o nº de vendas que irão dar Sistema de Bónus</t>
  </si>
  <si>
    <t>2b) Conte o nº de vendas com Qtd &lt; 250 que irão dar Sistema de Bónus</t>
  </si>
  <si>
    <t>2c) Qual o valor total a pagar de Prémios?</t>
  </si>
  <si>
    <t>2d) Qual o valor total a pagar de Prémios só de Bónus?</t>
  </si>
  <si>
    <t>2e) Qual o Valor Total Vendas do Carlos com Qtd &gt; 250</t>
  </si>
  <si>
    <t>2f) Calcular SUBTOTAL (SUM) para as colunas Qtd, Valor Total Vendas, Prémio a Pagar</t>
  </si>
  <si>
    <t>2g) Criar SUBTOTAL (AVERAGE) para a Coluna 'Valor Unitário'</t>
  </si>
  <si>
    <t>2h) Filtrar por todos os Nomes e ver as diferenças</t>
  </si>
  <si>
    <t>3a) Coluna 'Valor Total Vendas - Escalas de Cor verde</t>
  </si>
  <si>
    <t>3b) Distinguir os 3 melhores Valores Unitários - Célula com fundo verde</t>
  </si>
  <si>
    <t>3c) Distinguir os Sistema Bónus - Célula com fundo amarelo</t>
  </si>
  <si>
    <t>3d) Criar um gradiente de preenchimento vermelho - Coluna 'Prémio a Pagar'</t>
  </si>
  <si>
    <t>Valor Unitário</t>
  </si>
  <si>
    <t>Sistema Bónus</t>
  </si>
  <si>
    <t>Prémio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</si>
</sst>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5" formatCode="#,##0.00\ &quot;€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1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44" fontId="0" fillId="0" borderId="0" xfId="1" applyFont="1" applyBorder="1"/>
    <xf numFmtId="0" fontId="0" fillId="3" borderId="0" xfId="0" applyFill="1"/>
    <xf numFmtId="44" fontId="0" fillId="3" borderId="0" xfId="1" applyFont="1" applyFill="1"/>
    <xf numFmtId="2" fontId="0" fillId="3" borderId="0" xfId="0" applyNumberFormat="1" applyFill="1"/>
    <xf numFmtId="44" fontId="0" fillId="3" borderId="0" xfId="0" applyNumberFormat="1" applyFill="1"/>
    <xf numFmtId="44" fontId="0" fillId="0" borderId="0" xfId="1" applyFont="1" applyBorder="1" applyAlignment="1">
      <alignment horizontal="center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165" fontId="0" fillId="3" borderId="0" xfId="0" applyNumberFormat="1" applyFill="1"/>
    <xf numFmtId="0" fontId="3" fillId="0" borderId="0" xfId="2"/>
  </cellXfs>
  <cellStyles count="3">
    <cellStyle name="Currency" xfId="1" builtinId="4"/>
    <cellStyle name="Normal" xfId="0" builtinId="0"/>
    <cellStyle name="Normal 2" xfId="2" xr:uid="{CECDF620-969E-4AF0-8A30-3B02E75FEB49}"/>
  </cellStyles>
  <dxfs count="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A70B4-FEEE-407B-8A12-64D3AEF0866D}">
  <dimension ref="A2:T35"/>
  <sheetViews>
    <sheetView tabSelected="1" zoomScale="84" zoomScaleNormal="115" workbookViewId="0">
      <selection activeCell="J17" sqref="J17"/>
    </sheetView>
  </sheetViews>
  <sheetFormatPr defaultRowHeight="14.4" x14ac:dyDescent="0.3"/>
  <cols>
    <col min="1" max="1" width="10.21875" bestFit="1" customWidth="1"/>
    <col min="2" max="2" width="10.44140625" bestFit="1" customWidth="1"/>
    <col min="3" max="3" width="20.77734375" bestFit="1" customWidth="1"/>
    <col min="4" max="4" width="16.33203125" bestFit="1" customWidth="1"/>
    <col min="5" max="6" width="17.21875" bestFit="1" customWidth="1"/>
    <col min="7" max="7" width="14.33203125" bestFit="1" customWidth="1"/>
    <col min="9" max="9" width="12.44140625" bestFit="1" customWidth="1"/>
    <col min="20" max="20" width="14.77734375" customWidth="1"/>
  </cols>
  <sheetData>
    <row r="2" spans="1:20" x14ac:dyDescent="0.3">
      <c r="A2" s="1" t="s">
        <v>0</v>
      </c>
      <c r="B2" s="2" t="s">
        <v>1</v>
      </c>
      <c r="C2" s="1" t="s">
        <v>2</v>
      </c>
      <c r="D2" s="1" t="s">
        <v>24</v>
      </c>
      <c r="E2" s="1" t="s">
        <v>25</v>
      </c>
      <c r="F2" s="1" t="s">
        <v>26</v>
      </c>
      <c r="G2" s="1" t="s">
        <v>3</v>
      </c>
      <c r="N2" s="12" t="s">
        <v>11</v>
      </c>
      <c r="O2" s="12"/>
      <c r="P2" s="12"/>
      <c r="Q2" s="12"/>
      <c r="R2" s="12"/>
      <c r="S2" s="12"/>
    </row>
    <row r="3" spans="1:20" x14ac:dyDescent="0.3">
      <c r="A3" s="1" t="s">
        <v>4</v>
      </c>
      <c r="B3" s="3">
        <v>193</v>
      </c>
      <c r="C3" s="5">
        <v>2906</v>
      </c>
      <c r="D3" s="5">
        <f>C3/B3</f>
        <v>15.05699481865285</v>
      </c>
      <c r="E3" s="5" t="str">
        <f>IF(D3&gt;22,"Bónus","Normal")</f>
        <v>Normal</v>
      </c>
      <c r="F3" s="5" cm="1">
        <f t="array" ref="F3">_xlfn.IFS(E3="Normal",C3*0.03,E3="Bónus",C3*0.06)</f>
        <v>87.179999999999993</v>
      </c>
      <c r="G3" s="4">
        <v>43070</v>
      </c>
      <c r="N3" s="11" t="s">
        <v>20</v>
      </c>
      <c r="O3" s="11"/>
      <c r="P3" s="11"/>
      <c r="Q3" s="11"/>
      <c r="R3" s="11"/>
      <c r="S3" s="11"/>
      <c r="T3" s="11"/>
    </row>
    <row r="4" spans="1:20" x14ac:dyDescent="0.3">
      <c r="A4" s="1" t="s">
        <v>5</v>
      </c>
      <c r="B4" s="3">
        <v>390</v>
      </c>
      <c r="C4" s="5">
        <v>7773</v>
      </c>
      <c r="D4" s="5">
        <f t="shared" ref="D4:D21" si="0">C4/B4</f>
        <v>19.930769230769229</v>
      </c>
      <c r="E4" s="5" t="str">
        <f t="shared" ref="E4:E21" si="1">IF(D4&gt;22,"Bónus","Normal")</f>
        <v>Normal</v>
      </c>
      <c r="F4" s="5" cm="1">
        <f t="array" ref="F4">_xlfn.IFS(E4="Normal",C4*0.03,E4="Bónus",C4*0.06)</f>
        <v>233.19</v>
      </c>
      <c r="G4" s="4">
        <v>43071</v>
      </c>
      <c r="N4" s="11" t="s">
        <v>21</v>
      </c>
      <c r="O4" s="11"/>
      <c r="P4" s="11"/>
      <c r="Q4" s="11"/>
      <c r="R4" s="11"/>
      <c r="S4" s="11"/>
      <c r="T4" s="11"/>
    </row>
    <row r="5" spans="1:20" x14ac:dyDescent="0.3">
      <c r="A5" s="1" t="s">
        <v>6</v>
      </c>
      <c r="B5" s="3">
        <v>128</v>
      </c>
      <c r="C5" s="5">
        <v>3538</v>
      </c>
      <c r="D5" s="5">
        <f t="shared" si="0"/>
        <v>27.640625</v>
      </c>
      <c r="E5" s="5" t="str">
        <f t="shared" si="1"/>
        <v>Bónus</v>
      </c>
      <c r="F5" s="5" cm="1">
        <f t="array" ref="F5">_xlfn.IFS(E5="Normal",C5*0.03,E5="Bónus",C5*0.06)</f>
        <v>212.28</v>
      </c>
      <c r="G5" s="4">
        <v>43072</v>
      </c>
      <c r="N5" s="11" t="s">
        <v>22</v>
      </c>
      <c r="O5" s="11"/>
      <c r="P5" s="11"/>
      <c r="Q5" s="11"/>
      <c r="R5" s="11"/>
      <c r="S5" s="11"/>
      <c r="T5" s="11"/>
    </row>
    <row r="6" spans="1:20" x14ac:dyDescent="0.3">
      <c r="A6" s="1" t="s">
        <v>4</v>
      </c>
      <c r="B6" s="3">
        <v>296</v>
      </c>
      <c r="C6" s="10">
        <v>6967</v>
      </c>
      <c r="D6" s="5">
        <f t="shared" si="0"/>
        <v>23.537162162162161</v>
      </c>
      <c r="E6" s="5" t="str">
        <f t="shared" si="1"/>
        <v>Bónus</v>
      </c>
      <c r="F6" s="5" cm="1">
        <f t="array" ref="F6">_xlfn.IFS(E6="Normal",C6*0.03,E6="Bónus",C6*0.06)</f>
        <v>418.02</v>
      </c>
      <c r="G6" s="4">
        <v>43073</v>
      </c>
      <c r="N6" s="11" t="s">
        <v>23</v>
      </c>
      <c r="O6" s="11"/>
      <c r="P6" s="11"/>
      <c r="Q6" s="11"/>
      <c r="R6" s="11"/>
      <c r="S6" s="11"/>
      <c r="T6" s="11"/>
    </row>
    <row r="7" spans="1:20" x14ac:dyDescent="0.3">
      <c r="A7" s="1" t="s">
        <v>7</v>
      </c>
      <c r="B7" s="3">
        <v>155</v>
      </c>
      <c r="C7" s="5">
        <v>2807</v>
      </c>
      <c r="D7" s="5">
        <f t="shared" si="0"/>
        <v>18.109677419354838</v>
      </c>
      <c r="E7" s="5" t="str">
        <f t="shared" si="1"/>
        <v>Normal</v>
      </c>
      <c r="F7" s="5" cm="1">
        <f t="array" ref="F7">_xlfn.IFS(E7="Normal",C7*0.03,E7="Bónus",C7*0.06)</f>
        <v>84.21</v>
      </c>
      <c r="G7" s="4">
        <v>43073</v>
      </c>
    </row>
    <row r="8" spans="1:20" x14ac:dyDescent="0.3">
      <c r="A8" s="1" t="s">
        <v>8</v>
      </c>
      <c r="B8" s="3">
        <v>294</v>
      </c>
      <c r="C8" s="5">
        <v>6403</v>
      </c>
      <c r="D8" s="5">
        <f t="shared" si="0"/>
        <v>21.778911564625851</v>
      </c>
      <c r="E8" s="5" t="str">
        <f t="shared" si="1"/>
        <v>Normal</v>
      </c>
      <c r="F8" s="5" cm="1">
        <f t="array" ref="F8">_xlfn.IFS(E8="Normal",C8*0.03,E8="Bónus",C8*0.06)</f>
        <v>192.09</v>
      </c>
      <c r="G8" s="4">
        <v>43074</v>
      </c>
    </row>
    <row r="9" spans="1:20" x14ac:dyDescent="0.3">
      <c r="A9" s="1" t="s">
        <v>9</v>
      </c>
      <c r="B9" s="3">
        <v>330</v>
      </c>
      <c r="C9" s="5">
        <v>5557</v>
      </c>
      <c r="D9" s="5">
        <f t="shared" si="0"/>
        <v>16.83939393939394</v>
      </c>
      <c r="E9" s="5" t="str">
        <f t="shared" si="1"/>
        <v>Normal</v>
      </c>
      <c r="F9" s="5" cm="1">
        <f t="array" ref="F9">_xlfn.IFS(E9="Normal",C9*0.03,E9="Bónus",C9*0.06)</f>
        <v>166.71</v>
      </c>
      <c r="G9" s="4">
        <v>43075</v>
      </c>
    </row>
    <row r="10" spans="1:20" x14ac:dyDescent="0.3">
      <c r="A10" s="1" t="s">
        <v>7</v>
      </c>
      <c r="B10" s="3">
        <v>307</v>
      </c>
      <c r="C10" s="5">
        <v>5980</v>
      </c>
      <c r="D10" s="5">
        <f t="shared" si="0"/>
        <v>19.478827361563518</v>
      </c>
      <c r="E10" s="5" t="str">
        <f t="shared" si="1"/>
        <v>Normal</v>
      </c>
      <c r="F10" s="5" cm="1">
        <f t="array" ref="F10">_xlfn.IFS(E10="Normal",C10*0.03,E10="Bónus",C10*0.06)</f>
        <v>179.4</v>
      </c>
      <c r="G10" s="4">
        <v>43075</v>
      </c>
    </row>
    <row r="11" spans="1:20" x14ac:dyDescent="0.3">
      <c r="A11" s="1" t="s">
        <v>8</v>
      </c>
      <c r="B11" s="3">
        <v>324</v>
      </c>
      <c r="C11" s="5">
        <v>7553</v>
      </c>
      <c r="D11" s="5">
        <f t="shared" si="0"/>
        <v>23.311728395061728</v>
      </c>
      <c r="E11" s="5" t="str">
        <f t="shared" si="1"/>
        <v>Bónus</v>
      </c>
      <c r="F11" s="5" cm="1">
        <f t="array" ref="F11">_xlfn.IFS(E11="Normal",C11*0.03,E11="Bónus",C11*0.06)</f>
        <v>453.18</v>
      </c>
      <c r="G11" s="4">
        <v>43076</v>
      </c>
    </row>
    <row r="12" spans="1:20" x14ac:dyDescent="0.3">
      <c r="A12" s="1" t="s">
        <v>8</v>
      </c>
      <c r="B12" s="3">
        <v>337</v>
      </c>
      <c r="C12" s="5">
        <v>7793</v>
      </c>
      <c r="D12" s="5">
        <f t="shared" si="0"/>
        <v>23.124629080118694</v>
      </c>
      <c r="E12" s="5" t="str">
        <f t="shared" si="1"/>
        <v>Bónus</v>
      </c>
      <c r="F12" s="5" cm="1">
        <f t="array" ref="F12">_xlfn.IFS(E12="Normal",C12*0.03,E12="Bónus",C12*0.06)</f>
        <v>467.58</v>
      </c>
      <c r="G12" s="4">
        <v>43080</v>
      </c>
    </row>
    <row r="13" spans="1:20" x14ac:dyDescent="0.3">
      <c r="A13" s="1" t="s">
        <v>6</v>
      </c>
      <c r="B13" s="3">
        <v>291</v>
      </c>
      <c r="C13" s="5">
        <v>4291</v>
      </c>
      <c r="D13" s="5">
        <f t="shared" si="0"/>
        <v>14.745704467353951</v>
      </c>
      <c r="E13" s="5" t="str">
        <f t="shared" si="1"/>
        <v>Normal</v>
      </c>
      <c r="F13" s="5" cm="1">
        <f t="array" ref="F13">_xlfn.IFS(E13="Normal",C13*0.03,E13="Bónus",C13*0.06)</f>
        <v>128.72999999999999</v>
      </c>
      <c r="G13" s="4">
        <v>43080</v>
      </c>
    </row>
    <row r="14" spans="1:20" x14ac:dyDescent="0.3">
      <c r="A14" s="1" t="s">
        <v>4</v>
      </c>
      <c r="B14" s="3">
        <v>149</v>
      </c>
      <c r="C14" s="5">
        <v>2609</v>
      </c>
      <c r="D14" s="5">
        <f t="shared" si="0"/>
        <v>17.51006711409396</v>
      </c>
      <c r="E14" s="5" t="str">
        <f t="shared" si="1"/>
        <v>Normal</v>
      </c>
      <c r="F14" s="5" cm="1">
        <f t="array" ref="F14">_xlfn.IFS(E14="Normal",C14*0.03,E14="Bónus",C14*0.06)</f>
        <v>78.27</v>
      </c>
      <c r="G14" s="4">
        <v>43081</v>
      </c>
    </row>
    <row r="15" spans="1:20" x14ac:dyDescent="0.3">
      <c r="A15" s="1" t="s">
        <v>5</v>
      </c>
      <c r="B15" s="3">
        <v>216</v>
      </c>
      <c r="C15" s="5">
        <v>4347</v>
      </c>
      <c r="D15" s="5">
        <f t="shared" si="0"/>
        <v>20.125</v>
      </c>
      <c r="E15" s="5" t="str">
        <f t="shared" si="1"/>
        <v>Normal</v>
      </c>
      <c r="F15" s="5" cm="1">
        <f t="array" ref="F15">_xlfn.IFS(E15="Normal",C15*0.03,E15="Bónus",C15*0.06)</f>
        <v>130.41</v>
      </c>
      <c r="G15" s="4">
        <v>43082</v>
      </c>
    </row>
    <row r="16" spans="1:20" x14ac:dyDescent="0.3">
      <c r="A16" s="1" t="s">
        <v>6</v>
      </c>
      <c r="B16" s="3">
        <v>297</v>
      </c>
      <c r="C16" s="5">
        <v>6193</v>
      </c>
      <c r="D16" s="5">
        <f t="shared" si="0"/>
        <v>20.851851851851851</v>
      </c>
      <c r="E16" s="5" t="str">
        <f t="shared" si="1"/>
        <v>Normal</v>
      </c>
      <c r="F16" s="5" cm="1">
        <f t="array" ref="F16">_xlfn.IFS(E16="Normal",C16*0.03,E16="Bónus",C16*0.06)</f>
        <v>185.79</v>
      </c>
      <c r="G16" s="4">
        <v>43082</v>
      </c>
    </row>
    <row r="17" spans="1:10" x14ac:dyDescent="0.3">
      <c r="A17" s="1" t="s">
        <v>8</v>
      </c>
      <c r="B17" s="3">
        <v>245</v>
      </c>
      <c r="C17" s="5">
        <v>3993</v>
      </c>
      <c r="D17" s="5">
        <f t="shared" si="0"/>
        <v>16.29795918367347</v>
      </c>
      <c r="E17" s="5" t="str">
        <f t="shared" si="1"/>
        <v>Normal</v>
      </c>
      <c r="F17" s="5" cm="1">
        <f t="array" ref="F17">_xlfn.IFS(E17="Normal",C17*0.03,E17="Bónus",C17*0.06)</f>
        <v>119.78999999999999</v>
      </c>
      <c r="G17" s="4">
        <v>43083</v>
      </c>
    </row>
    <row r="18" spans="1:10" x14ac:dyDescent="0.3">
      <c r="A18" s="1" t="s">
        <v>9</v>
      </c>
      <c r="B18" s="3">
        <v>201</v>
      </c>
      <c r="C18" s="5">
        <v>7332</v>
      </c>
      <c r="D18" s="5">
        <f t="shared" si="0"/>
        <v>36.477611940298509</v>
      </c>
      <c r="E18" s="5" t="str">
        <f t="shared" si="1"/>
        <v>Bónus</v>
      </c>
      <c r="F18" s="5" cm="1">
        <f t="array" ref="F18">_xlfn.IFS(E18="Normal",C18*0.03,E18="Bónus",C18*0.06)</f>
        <v>439.91999999999996</v>
      </c>
      <c r="G18" s="4">
        <v>43083</v>
      </c>
    </row>
    <row r="19" spans="1:10" x14ac:dyDescent="0.3">
      <c r="A19" s="1" t="s">
        <v>7</v>
      </c>
      <c r="B19" s="3">
        <v>213</v>
      </c>
      <c r="C19" s="5">
        <v>3867</v>
      </c>
      <c r="D19" s="5">
        <f t="shared" si="0"/>
        <v>18.154929577464788</v>
      </c>
      <c r="E19" s="5" t="str">
        <f t="shared" si="1"/>
        <v>Normal</v>
      </c>
      <c r="F19" s="5" cm="1">
        <f t="array" ref="F19">_xlfn.IFS(E19="Normal",C19*0.03,E19="Bónus",C19*0.06)</f>
        <v>116.00999999999999</v>
      </c>
      <c r="G19" s="4">
        <v>43083</v>
      </c>
    </row>
    <row r="20" spans="1:10" x14ac:dyDescent="0.3">
      <c r="A20" s="1" t="s">
        <v>4</v>
      </c>
      <c r="B20" s="3">
        <v>395</v>
      </c>
      <c r="C20" s="5">
        <v>7790</v>
      </c>
      <c r="D20" s="5">
        <f t="shared" si="0"/>
        <v>19.721518987341771</v>
      </c>
      <c r="E20" s="5" t="str">
        <f t="shared" si="1"/>
        <v>Normal</v>
      </c>
      <c r="F20" s="5" cm="1">
        <f t="array" ref="F20">_xlfn.IFS(E20="Normal",C20*0.03,E20="Bónus",C20*0.06)</f>
        <v>233.7</v>
      </c>
      <c r="G20" s="4">
        <v>43085</v>
      </c>
    </row>
    <row r="21" spans="1:10" x14ac:dyDescent="0.3">
      <c r="A21" s="1" t="s">
        <v>7</v>
      </c>
      <c r="B21" s="3">
        <v>261</v>
      </c>
      <c r="C21" s="5">
        <v>7772</v>
      </c>
      <c r="D21" s="5">
        <f t="shared" si="0"/>
        <v>29.777777777777779</v>
      </c>
      <c r="E21" s="5" t="str">
        <f t="shared" si="1"/>
        <v>Bónus</v>
      </c>
      <c r="F21" s="5" cm="1">
        <f t="array" ref="F21">_xlfn.IFS(E21="Normal",C21*0.03,E21="Bónus",C21*0.06)</f>
        <v>466.32</v>
      </c>
      <c r="G21" s="4">
        <v>43089</v>
      </c>
    </row>
    <row r="24" spans="1:10" x14ac:dyDescent="0.3">
      <c r="A24" s="1" t="s">
        <v>10</v>
      </c>
      <c r="B24" s="6">
        <f>SUBTOTAL(9,B3:B21)</f>
        <v>5022</v>
      </c>
      <c r="C24" s="13">
        <f t="shared" ref="C24:F24" si="2">SUBTOTAL(9,C3:C21)</f>
        <v>105471</v>
      </c>
      <c r="D24" s="13">
        <f>SUBTOTAL(1,D3:D21)</f>
        <v>21.182691572187309</v>
      </c>
      <c r="E24" s="6"/>
      <c r="F24" s="6">
        <f t="shared" si="2"/>
        <v>4392.78</v>
      </c>
      <c r="G24" s="6"/>
      <c r="H24" s="8"/>
      <c r="I24" s="6"/>
      <c r="J24" s="14"/>
    </row>
    <row r="26" spans="1:10" x14ac:dyDescent="0.3">
      <c r="A26" s="11" t="s">
        <v>12</v>
      </c>
      <c r="B26" s="11"/>
      <c r="C26" s="11"/>
      <c r="D26" s="11"/>
      <c r="E26" s="11"/>
      <c r="F26" s="11"/>
      <c r="G26" s="11"/>
      <c r="H26" s="11"/>
      <c r="I26" s="6">
        <f>COUNTIF(E3:E21,"Bónus")</f>
        <v>6</v>
      </c>
    </row>
    <row r="27" spans="1:10" x14ac:dyDescent="0.3">
      <c r="A27" s="11" t="s">
        <v>13</v>
      </c>
      <c r="B27" s="11"/>
      <c r="C27" s="11"/>
      <c r="D27" s="11"/>
      <c r="E27" s="11"/>
      <c r="F27" s="11"/>
      <c r="G27" s="11"/>
      <c r="H27" s="11"/>
      <c r="I27" s="6">
        <f>COUNTIFS(B3:B21,"&lt;250",E3:E21,"Bónus")</f>
        <v>2</v>
      </c>
    </row>
    <row r="29" spans="1:10" x14ac:dyDescent="0.3">
      <c r="A29" s="11" t="s">
        <v>14</v>
      </c>
      <c r="B29" s="11"/>
      <c r="C29" s="11"/>
      <c r="D29" s="11"/>
      <c r="E29" s="11"/>
      <c r="F29" s="11"/>
      <c r="G29" s="11"/>
      <c r="H29" s="11"/>
      <c r="I29" s="9">
        <f>SUM(F3:F21)</f>
        <v>4392.78</v>
      </c>
    </row>
    <row r="30" spans="1:10" x14ac:dyDescent="0.3">
      <c r="A30" s="11" t="s">
        <v>15</v>
      </c>
      <c r="B30" s="11"/>
      <c r="C30" s="11"/>
      <c r="D30" s="11"/>
      <c r="E30" s="11"/>
      <c r="F30" s="11"/>
      <c r="G30" s="11"/>
      <c r="H30" s="11"/>
      <c r="I30" s="9">
        <f>SUMIF(E3:E21,"Bónus",F3:F21)</f>
        <v>2457.3000000000002</v>
      </c>
    </row>
    <row r="31" spans="1:10" x14ac:dyDescent="0.3">
      <c r="A31" s="11" t="s">
        <v>16</v>
      </c>
      <c r="B31" s="11"/>
      <c r="C31" s="11"/>
      <c r="D31" s="11"/>
      <c r="E31" s="11"/>
      <c r="F31" s="11"/>
      <c r="G31" s="11"/>
      <c r="H31" s="11"/>
      <c r="I31" s="7">
        <f>SUMIFS(C3:C21,A3:A21,"Carlos",B3:B21,"&gt;250")</f>
        <v>21749</v>
      </c>
    </row>
    <row r="33" spans="1:9" x14ac:dyDescent="0.3">
      <c r="A33" s="11" t="s">
        <v>17</v>
      </c>
      <c r="B33" s="11"/>
      <c r="C33" s="11"/>
      <c r="D33" s="11"/>
      <c r="E33" s="11"/>
      <c r="F33" s="11"/>
      <c r="G33" s="11"/>
      <c r="H33" s="11"/>
      <c r="I33" s="11"/>
    </row>
    <row r="34" spans="1:9" x14ac:dyDescent="0.3">
      <c r="A34" s="11" t="s">
        <v>18</v>
      </c>
      <c r="B34" s="11"/>
      <c r="C34" s="11"/>
      <c r="D34" s="11"/>
      <c r="E34" s="11"/>
      <c r="F34" s="11"/>
      <c r="G34" s="11"/>
      <c r="H34" s="11"/>
      <c r="I34" s="11"/>
    </row>
    <row r="35" spans="1:9" x14ac:dyDescent="0.3">
      <c r="A35" s="11" t="s">
        <v>19</v>
      </c>
      <c r="B35" s="11"/>
      <c r="C35" s="11"/>
      <c r="D35" s="11"/>
      <c r="E35" s="11"/>
      <c r="F35" s="11"/>
      <c r="G35" s="11"/>
      <c r="H35" s="11"/>
      <c r="I35" s="11"/>
    </row>
  </sheetData>
  <autoFilter ref="A2:G21" xr:uid="{505A70B4-FEEE-407B-8A12-64D3AEF0866D}"/>
  <sortState xmlns:xlrd2="http://schemas.microsoft.com/office/spreadsheetml/2017/richdata2" ref="A3:G21">
    <sortCondition ref="G2:G21"/>
  </sortState>
  <mergeCells count="13">
    <mergeCell ref="N6:T6"/>
    <mergeCell ref="A33:I33"/>
    <mergeCell ref="A34:I34"/>
    <mergeCell ref="A35:I35"/>
    <mergeCell ref="N2:S2"/>
    <mergeCell ref="A26:H26"/>
    <mergeCell ref="A27:H27"/>
    <mergeCell ref="A29:H29"/>
    <mergeCell ref="A30:H30"/>
    <mergeCell ref="A31:H31"/>
    <mergeCell ref="N4:T4"/>
    <mergeCell ref="N5:T5"/>
    <mergeCell ref="N3:T3"/>
  </mergeCells>
  <conditionalFormatting sqref="C3:C21">
    <cfRule type="colorScale" priority="5">
      <colorScale>
        <cfvo type="min"/>
        <cfvo type="max"/>
        <color rgb="FFFCFCFF"/>
        <color rgb="FF63BE7B"/>
      </colorScale>
    </cfRule>
  </conditionalFormatting>
  <conditionalFormatting sqref="D3:D21">
    <cfRule type="top10" dxfId="5" priority="4" rank="3"/>
    <cfRule type="top10" dxfId="4" priority="3" rank="3"/>
  </conditionalFormatting>
  <conditionalFormatting sqref="E3:E21">
    <cfRule type="containsText" dxfId="3" priority="2" operator="containsText" text="Bónus">
      <formula>NOT(ISERROR(SEARCH("Bónus",E3)))</formula>
    </cfRule>
  </conditionalFormatting>
  <conditionalFormatting sqref="F3:F2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{02ED71FF-EB93-435F-A90A-68C458FF8166}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ED71FF-EB93-435F-A90A-68C458FF81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F3:F21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B842600A0E964EBE88117445EBED7E" ma:contentTypeVersion="3" ma:contentTypeDescription="Criar um novo documento." ma:contentTypeScope="" ma:versionID="a725027eae200caf851bbd21b1eec2ae">
  <xsd:schema xmlns:xsd="http://www.w3.org/2001/XMLSchema" xmlns:xs="http://www.w3.org/2001/XMLSchema" xmlns:p="http://schemas.microsoft.com/office/2006/metadata/properties" xmlns:ns2="6c96d2b1-6fa3-4456-a494-3ce8b45afc84" targetNamespace="http://schemas.microsoft.com/office/2006/metadata/properties" ma:root="true" ma:fieldsID="6ff97e10b6262e29b4dd2ec9a7639a85" ns2:_="">
    <xsd:import namespace="6c96d2b1-6fa3-4456-a494-3ce8b45afc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6d2b1-6fa3-4456-a494-3ce8b45af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178D46-506A-4CC0-A3D7-63AC94166A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96d2b1-6fa3-4456-a494-3ce8b45afc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6DE4C-2182-4887-A625-4A4C1E24342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3EF586D-5742-4F5C-813C-44A43DF2F0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 Almeida</dc:creator>
  <cp:keywords/>
  <dc:description/>
  <cp:lastModifiedBy>Paulo Carvalho</cp:lastModifiedBy>
  <cp:revision/>
  <dcterms:created xsi:type="dcterms:W3CDTF">2022-09-17T10:51:09Z</dcterms:created>
  <dcterms:modified xsi:type="dcterms:W3CDTF">2025-09-25T19:14:56Z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0x0101006CB842600A0E964EBE88117445EBED7E</vt:lpwstr>
  </property>
</Properties>
</file>