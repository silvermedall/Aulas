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gca\Desktop\Code\Aulas\AI\aula_25_09\"/>
    </mc:Choice>
  </mc:AlternateContent>
  <xr:revisionPtr revIDLastSave="0" documentId="13_ncr:1_{8A46969B-632B-4F19-9B80-E8545D7216A8}" xr6:coauthVersionLast="47" xr6:coauthVersionMax="47" xr10:uidLastSave="{00000000-0000-0000-0000-000000000000}"/>
  <bookViews>
    <workbookView xWindow="-108" yWindow="-108" windowWidth="23256" windowHeight="12456" xr2:uid="{866D9D0B-75C5-4D4F-9C34-26B047161613}"/>
  </bookViews>
  <sheets>
    <sheet name="Ex.2" sheetId="2" r:id="rId1"/>
  </sheets>
  <definedNames>
    <definedName name="_xlnm._FilterDatabase" localSheetId="0" hidden="1">Ex.2!$A$4:$H$69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6" i="2" l="1"/>
  <c r="F91" i="2"/>
  <c r="G91" i="2"/>
  <c r="G89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5" i="2"/>
  <c r="F89" i="2"/>
  <c r="E72" i="2"/>
  <c r="B76" i="2"/>
  <c r="E84" i="2"/>
  <c r="E82" i="2"/>
  <c r="E81" i="2"/>
  <c r="B79" i="2"/>
  <c r="B78" i="2"/>
  <c r="B77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5" i="2"/>
</calcChain>
</file>

<file path=xl/sharedStrings.xml><?xml version="1.0" encoding="utf-8"?>
<sst xmlns="http://schemas.openxmlformats.org/spreadsheetml/2006/main" count="351" uniqueCount="126">
  <si>
    <t>IVA</t>
  </si>
  <si>
    <t>Nº Fatura</t>
  </si>
  <si>
    <t>Data Documento</t>
  </si>
  <si>
    <t>Departamento</t>
  </si>
  <si>
    <t>Nº Fornecedor</t>
  </si>
  <si>
    <t>Nome Fornecedor</t>
  </si>
  <si>
    <t>Valor</t>
  </si>
  <si>
    <t>Cód. Forma Pagamento</t>
  </si>
  <si>
    <t>CMP1712014</t>
  </si>
  <si>
    <t>Manutenção</t>
  </si>
  <si>
    <t>0001645</t>
  </si>
  <si>
    <t>RESINASABC</t>
  </si>
  <si>
    <t>TransfBanc</t>
  </si>
  <si>
    <t>CMP1712021</t>
  </si>
  <si>
    <t>Qualidade</t>
  </si>
  <si>
    <t>0004265</t>
  </si>
  <si>
    <t xml:space="preserve">JOÃO PEREIRA </t>
  </si>
  <si>
    <t>CMP1712029</t>
  </si>
  <si>
    <t>Logística</t>
  </si>
  <si>
    <t>0002560</t>
  </si>
  <si>
    <t>TRANSITARIOS ROTA</t>
  </si>
  <si>
    <t>CMP1712034</t>
  </si>
  <si>
    <t>Produção</t>
  </si>
  <si>
    <t>CMP1712035</t>
  </si>
  <si>
    <t>0004164</t>
  </si>
  <si>
    <t>LEADER PACKAGING</t>
  </si>
  <si>
    <t>CMP1712061</t>
  </si>
  <si>
    <t>0004279</t>
  </si>
  <si>
    <t>GM TRANSPORTES</t>
  </si>
  <si>
    <t>CMP1712072</t>
  </si>
  <si>
    <t>CMP1712075</t>
  </si>
  <si>
    <t>CMP1712085</t>
  </si>
  <si>
    <t>0004381</t>
  </si>
  <si>
    <t>SUPPORT PAPPER</t>
  </si>
  <si>
    <t>CMP1712099</t>
  </si>
  <si>
    <t>CMP1712101</t>
  </si>
  <si>
    <t>0005356</t>
  </si>
  <si>
    <t>FARECA PRODUCT</t>
  </si>
  <si>
    <t>CMP1712109</t>
  </si>
  <si>
    <t>0002877</t>
  </si>
  <si>
    <t>MAQ. ACESS.INDUSTRIAIS</t>
  </si>
  <si>
    <t>CMP1712111</t>
  </si>
  <si>
    <t>0001907</t>
  </si>
  <si>
    <t>INDUSTRIAL LUBRE</t>
  </si>
  <si>
    <t>CMP1712113</t>
  </si>
  <si>
    <t>CMP1712114</t>
  </si>
  <si>
    <t>0004330</t>
  </si>
  <si>
    <t>PERMAR ACESS. INDUST</t>
  </si>
  <si>
    <t>CMP1712117</t>
  </si>
  <si>
    <t>0001956</t>
  </si>
  <si>
    <t>J. PEREIRA DA SIMÃO</t>
  </si>
  <si>
    <t>CMP1712118</t>
  </si>
  <si>
    <t>CMP1712135</t>
  </si>
  <si>
    <t>0003707</t>
  </si>
  <si>
    <t>SANTOS &amp; SILVA</t>
  </si>
  <si>
    <t>CMP1712137</t>
  </si>
  <si>
    <t>0003310</t>
  </si>
  <si>
    <t>LABFAB</t>
  </si>
  <si>
    <t>CMP1712138</t>
  </si>
  <si>
    <t>CMP1712149</t>
  </si>
  <si>
    <t>CMP1712153</t>
  </si>
  <si>
    <t>CartaoDinheiro</t>
  </si>
  <si>
    <t>CMP1712155</t>
  </si>
  <si>
    <t>CMP1712159</t>
  </si>
  <si>
    <t>CMP1712171</t>
  </si>
  <si>
    <t>CMP1712172</t>
  </si>
  <si>
    <t>CMP1712173</t>
  </si>
  <si>
    <t>CMP1712174</t>
  </si>
  <si>
    <t>CMP1712178</t>
  </si>
  <si>
    <t>CMP1712179</t>
  </si>
  <si>
    <t>CMP1712182</t>
  </si>
  <si>
    <t>CMP1712183</t>
  </si>
  <si>
    <t>CMP1712184</t>
  </si>
  <si>
    <t>CMP1712185</t>
  </si>
  <si>
    <t>CMP1712186</t>
  </si>
  <si>
    <t>CMP1712187</t>
  </si>
  <si>
    <t>CMP1712188</t>
  </si>
  <si>
    <t>CMP1712194</t>
  </si>
  <si>
    <t>CMP1712195</t>
  </si>
  <si>
    <t>CMP1712200</t>
  </si>
  <si>
    <t>CMP1712219</t>
  </si>
  <si>
    <t>0001744</t>
  </si>
  <si>
    <t>SEGUROSPT</t>
  </si>
  <si>
    <t>CMP1712220</t>
  </si>
  <si>
    <t>CMP1712232</t>
  </si>
  <si>
    <t>CMP1712244</t>
  </si>
  <si>
    <t>CMP1712248</t>
  </si>
  <si>
    <t>0004742</t>
  </si>
  <si>
    <t>SUPPLY CHAIN SOLUTIONS TIR</t>
  </si>
  <si>
    <t>CMP1712249</t>
  </si>
  <si>
    <t>CMP1712250</t>
  </si>
  <si>
    <t>CMP1712251</t>
  </si>
  <si>
    <t>CMP1712252</t>
  </si>
  <si>
    <t>CMP1712274</t>
  </si>
  <si>
    <t>CMP1712290</t>
  </si>
  <si>
    <t>CMP1712303</t>
  </si>
  <si>
    <t>CMP1712307</t>
  </si>
  <si>
    <t>0001718</t>
  </si>
  <si>
    <t>FERRAGENSXY</t>
  </si>
  <si>
    <t>CMP1712308</t>
  </si>
  <si>
    <t>CMP1712310</t>
  </si>
  <si>
    <t>CMP1712327</t>
  </si>
  <si>
    <t>0004468</t>
  </si>
  <si>
    <t>PINHEIRO TORRES</t>
  </si>
  <si>
    <t>CMP1712332</t>
  </si>
  <si>
    <t>CMP1712334</t>
  </si>
  <si>
    <t>CMP1712337</t>
  </si>
  <si>
    <t>CMP1712375</t>
  </si>
  <si>
    <t>CMP1712376</t>
  </si>
  <si>
    <t>CMP1712377</t>
  </si>
  <si>
    <t>CMP1801004</t>
  </si>
  <si>
    <t>CMP1801240</t>
  </si>
  <si>
    <t>0002120</t>
  </si>
  <si>
    <t>CMP1802014</t>
  </si>
  <si>
    <t>B) Total Valor com IVA</t>
  </si>
  <si>
    <t>C) Valores Totais por Departamento</t>
  </si>
  <si>
    <t>Valor Total com IVA</t>
  </si>
  <si>
    <t>E) Valor total com IVA - Dep 'Produção' e Forn 'RESINASABC'</t>
  </si>
  <si>
    <t>F) Nº vezes 'CartaoDinheiro'</t>
  </si>
  <si>
    <t>G) Nº vezes 'Manutenção' usou pagamento 'TransfBanc'</t>
  </si>
  <si>
    <t>Valor com IVA</t>
  </si>
  <si>
    <t>H) SUBTOTAL (SUM)</t>
  </si>
  <si>
    <t xml:space="preserve">H) VALOR SUBTOTAL (SUM) c/ FILTRO ‘TRANSITARIOS ROTA’, ‘GM TRANSPORTES’ e ‘SUPPLY CHAIN SOLUTIONS TIR’ </t>
  </si>
  <si>
    <t xml:space="preserve">     Valor total com IVA - Dep 'Manutenção' e Forn 'RESINASABC'</t>
  </si>
  <si>
    <t>Valor c/ IVA</t>
  </si>
  <si>
    <t>Cond.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</si>
</sst>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\ &quot;€&quot;_-;\-* #,##0.0\ &quot;€&quot;_-;_-* &quot;-&quot;??\ &quot;€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Calibri Light"/>
      <family val="2"/>
      <scheme val="major"/>
    </font>
    <font>
      <sz val="9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b/>
      <sz val="8"/>
      <color theme="1"/>
      <name val="Calibri Light"/>
      <family val="2"/>
      <scheme val="maj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9">
    <xf numFmtId="0" fontId="0" fillId="0" borderId="0" xfId="0"/>
    <xf numFmtId="0" fontId="2" fillId="3" borderId="0" xfId="2" applyFill="1" applyAlignment="1">
      <alignment horizontal="center"/>
    </xf>
    <xf numFmtId="0" fontId="2" fillId="2" borderId="0" xfId="2" applyFill="1"/>
    <xf numFmtId="0" fontId="2" fillId="0" borderId="0" xfId="2"/>
    <xf numFmtId="0" fontId="3" fillId="4" borderId="0" xfId="2" applyFont="1" applyFill="1" applyAlignment="1">
      <alignment horizontal="left" wrapText="1"/>
    </xf>
    <xf numFmtId="0" fontId="4" fillId="5" borderId="0" xfId="2" applyFont="1" applyFill="1" applyAlignment="1">
      <alignment horizontal="left"/>
    </xf>
    <xf numFmtId="14" fontId="4" fillId="5" borderId="0" xfId="2" applyNumberFormat="1" applyFont="1" applyFill="1" applyAlignment="1">
      <alignment horizontal="left"/>
    </xf>
    <xf numFmtId="164" fontId="4" fillId="5" borderId="0" xfId="1" applyNumberFormat="1" applyFont="1" applyFill="1" applyBorder="1" applyAlignment="1">
      <alignment horizontal="right"/>
    </xf>
    <xf numFmtId="0" fontId="5" fillId="0" borderId="0" xfId="2" applyFont="1"/>
    <xf numFmtId="14" fontId="6" fillId="0" borderId="0" xfId="2" applyNumberFormat="1" applyFont="1" applyAlignment="1">
      <alignment horizontal="left"/>
    </xf>
    <xf numFmtId="0" fontId="2" fillId="0" borderId="0" xfId="2" applyAlignment="1">
      <alignment horizontal="center"/>
    </xf>
    <xf numFmtId="0" fontId="2" fillId="3" borderId="0" xfId="2" applyFill="1" applyAlignment="1">
      <alignment horizontal="center" wrapText="1"/>
    </xf>
    <xf numFmtId="0" fontId="2" fillId="3" borderId="0" xfId="2" applyFill="1" applyAlignment="1">
      <alignment horizontal="left"/>
    </xf>
    <xf numFmtId="9" fontId="2" fillId="2" borderId="0" xfId="3" applyFont="1" applyFill="1"/>
    <xf numFmtId="164" fontId="2" fillId="2" borderId="0" xfId="2" applyNumberFormat="1" applyFill="1"/>
    <xf numFmtId="44" fontId="0" fillId="2" borderId="0" xfId="1" applyFont="1" applyFill="1"/>
    <xf numFmtId="44" fontId="2" fillId="2" borderId="0" xfId="1" applyFont="1" applyFill="1"/>
    <xf numFmtId="0" fontId="7" fillId="7" borderId="0" xfId="5" applyFont="1" applyBorder="1"/>
    <xf numFmtId="0" fontId="8" fillId="6" borderId="0" xfId="4" applyFont="1"/>
  </cellXfs>
  <cellStyles count="6">
    <cellStyle name="20% - Accent3" xfId="4" builtinId="38"/>
    <cellStyle name="60% - Accent3" xfId="5" builtinId="40"/>
    <cellStyle name="Currency" xfId="1" builtinId="4"/>
    <cellStyle name="Normal" xfId="0" builtinId="0"/>
    <cellStyle name="Normal 2" xfId="2" xr:uid="{CECDF620-969E-4AF0-8A30-3B02E75FEB49}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F95A-207D-4C75-9A5E-C1CB52A033BF}">
  <dimension ref="A1:I91"/>
  <sheetViews>
    <sheetView tabSelected="1" zoomScale="90" zoomScaleNormal="145" workbookViewId="0">
      <selection activeCell="P16" sqref="P16"/>
    </sheetView>
  </sheetViews>
  <sheetFormatPr defaultColWidth="9.21875" defaultRowHeight="13.2" x14ac:dyDescent="0.25"/>
  <cols>
    <col min="1" max="1" width="14" style="3" bestFit="1" customWidth="1"/>
    <col min="2" max="2" width="19.44140625" style="3" bestFit="1" customWidth="1"/>
    <col min="3" max="3" width="14.44140625" style="3" bestFit="1" customWidth="1"/>
    <col min="4" max="4" width="12.21875" style="3" bestFit="1" customWidth="1"/>
    <col min="5" max="5" width="28.44140625" style="3" customWidth="1"/>
    <col min="6" max="7" width="15.44140625" style="3" customWidth="1"/>
    <col min="8" max="8" width="12.77734375" style="3" bestFit="1" customWidth="1"/>
    <col min="9" max="9" width="13.21875" style="3" bestFit="1" customWidth="1"/>
    <col min="10" max="16384" width="9.21875" style="3"/>
  </cols>
  <sheetData>
    <row r="1" spans="1:9" x14ac:dyDescent="0.25">
      <c r="A1" s="1" t="s">
        <v>0</v>
      </c>
      <c r="B1" s="13">
        <v>0.23</v>
      </c>
    </row>
    <row r="4" spans="1:9" ht="26.25" customHeigh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124</v>
      </c>
      <c r="H4" s="4" t="s">
        <v>7</v>
      </c>
      <c r="I4" s="17" t="s">
        <v>125</v>
      </c>
    </row>
    <row r="5" spans="1:9" x14ac:dyDescent="0.25">
      <c r="A5" s="5" t="s">
        <v>8</v>
      </c>
      <c r="B5" s="6">
        <v>43074</v>
      </c>
      <c r="C5" s="6" t="s">
        <v>9</v>
      </c>
      <c r="D5" s="5" t="s">
        <v>10</v>
      </c>
      <c r="E5" s="5" t="s">
        <v>11</v>
      </c>
      <c r="F5" s="7">
        <v>5658</v>
      </c>
      <c r="G5" s="7">
        <f>F5+F5*$B$1</f>
        <v>6959.34</v>
      </c>
      <c r="H5" s="5" t="s">
        <v>12</v>
      </c>
      <c r="I5" s="18" t="str">
        <f>IF(C5="Logística","30 dias","60 dias")</f>
        <v>60 dias</v>
      </c>
    </row>
    <row r="6" spans="1:9" x14ac:dyDescent="0.25">
      <c r="A6" s="5" t="s">
        <v>13</v>
      </c>
      <c r="B6" s="6">
        <v>43075</v>
      </c>
      <c r="C6" s="6" t="s">
        <v>14</v>
      </c>
      <c r="D6" s="5" t="s">
        <v>15</v>
      </c>
      <c r="E6" s="5" t="s">
        <v>16</v>
      </c>
      <c r="F6" s="7">
        <v>14911.6</v>
      </c>
      <c r="G6" s="7">
        <f t="shared" ref="G6:G69" si="0">F6+F6*$B$1</f>
        <v>18341.268</v>
      </c>
      <c r="H6" s="5" t="s">
        <v>12</v>
      </c>
      <c r="I6" s="18" t="str">
        <f t="shared" ref="I6:I69" si="1">IF(C6="Logística","30 dias","60 dias")</f>
        <v>60 dias</v>
      </c>
    </row>
    <row r="7" spans="1:9" x14ac:dyDescent="0.25">
      <c r="A7" s="5" t="s">
        <v>17</v>
      </c>
      <c r="B7" s="6">
        <v>43080</v>
      </c>
      <c r="C7" s="6" t="s">
        <v>18</v>
      </c>
      <c r="D7" s="5" t="s">
        <v>19</v>
      </c>
      <c r="E7" s="5" t="s">
        <v>20</v>
      </c>
      <c r="F7" s="7">
        <v>630</v>
      </c>
      <c r="G7" s="7">
        <f t="shared" si="0"/>
        <v>774.9</v>
      </c>
      <c r="H7" s="5" t="s">
        <v>12</v>
      </c>
      <c r="I7" s="18" t="str">
        <f t="shared" si="1"/>
        <v>30 dias</v>
      </c>
    </row>
    <row r="8" spans="1:9" x14ac:dyDescent="0.25">
      <c r="A8" s="5" t="s">
        <v>21</v>
      </c>
      <c r="B8" s="6">
        <v>43080</v>
      </c>
      <c r="C8" s="6" t="s">
        <v>22</v>
      </c>
      <c r="D8" s="5" t="s">
        <v>10</v>
      </c>
      <c r="E8" s="5" t="s">
        <v>11</v>
      </c>
      <c r="F8" s="7">
        <v>10340.370000000001</v>
      </c>
      <c r="G8" s="7">
        <f t="shared" si="0"/>
        <v>12718.655100000002</v>
      </c>
      <c r="H8" s="5" t="s">
        <v>12</v>
      </c>
      <c r="I8" s="18" t="str">
        <f t="shared" si="1"/>
        <v>60 dias</v>
      </c>
    </row>
    <row r="9" spans="1:9" x14ac:dyDescent="0.25">
      <c r="A9" s="5" t="s">
        <v>23</v>
      </c>
      <c r="B9" s="6">
        <v>43075</v>
      </c>
      <c r="C9" s="6" t="s">
        <v>22</v>
      </c>
      <c r="D9" s="5" t="s">
        <v>24</v>
      </c>
      <c r="E9" s="5" t="s">
        <v>25</v>
      </c>
      <c r="F9" s="7">
        <v>2687.95</v>
      </c>
      <c r="G9" s="7">
        <f t="shared" si="0"/>
        <v>3306.1785</v>
      </c>
      <c r="H9" s="5" t="s">
        <v>12</v>
      </c>
      <c r="I9" s="18" t="str">
        <f t="shared" si="1"/>
        <v>60 dias</v>
      </c>
    </row>
    <row r="10" spans="1:9" x14ac:dyDescent="0.25">
      <c r="A10" s="5" t="s">
        <v>26</v>
      </c>
      <c r="B10" s="6">
        <v>43070</v>
      </c>
      <c r="C10" s="6" t="s">
        <v>18</v>
      </c>
      <c r="D10" s="5" t="s">
        <v>27</v>
      </c>
      <c r="E10" s="5" t="s">
        <v>28</v>
      </c>
      <c r="F10" s="7">
        <v>968</v>
      </c>
      <c r="G10" s="7">
        <f t="shared" si="0"/>
        <v>1190.6400000000001</v>
      </c>
      <c r="H10" s="5" t="s">
        <v>12</v>
      </c>
      <c r="I10" s="18" t="str">
        <f t="shared" si="1"/>
        <v>30 dias</v>
      </c>
    </row>
    <row r="11" spans="1:9" x14ac:dyDescent="0.25">
      <c r="A11" s="5" t="s">
        <v>29</v>
      </c>
      <c r="B11" s="6">
        <v>43080</v>
      </c>
      <c r="C11" s="6" t="s">
        <v>22</v>
      </c>
      <c r="D11" s="5" t="s">
        <v>24</v>
      </c>
      <c r="E11" s="5" t="s">
        <v>25</v>
      </c>
      <c r="F11" s="7">
        <v>1989.55</v>
      </c>
      <c r="G11" s="7">
        <f t="shared" si="0"/>
        <v>2447.1464999999998</v>
      </c>
      <c r="H11" s="5" t="s">
        <v>12</v>
      </c>
      <c r="I11" s="18" t="str">
        <f t="shared" si="1"/>
        <v>60 dias</v>
      </c>
    </row>
    <row r="12" spans="1:9" x14ac:dyDescent="0.25">
      <c r="A12" s="5" t="s">
        <v>30</v>
      </c>
      <c r="B12" s="6">
        <v>43080</v>
      </c>
      <c r="C12" s="6" t="s">
        <v>22</v>
      </c>
      <c r="D12" s="5" t="s">
        <v>24</v>
      </c>
      <c r="E12" s="5" t="s">
        <v>25</v>
      </c>
      <c r="F12" s="7">
        <v>460</v>
      </c>
      <c r="G12" s="7">
        <f t="shared" si="0"/>
        <v>565.79999999999995</v>
      </c>
      <c r="H12" s="5" t="s">
        <v>12</v>
      </c>
      <c r="I12" s="18" t="str">
        <f t="shared" si="1"/>
        <v>60 dias</v>
      </c>
    </row>
    <row r="13" spans="1:9" x14ac:dyDescent="0.25">
      <c r="A13" s="5" t="s">
        <v>31</v>
      </c>
      <c r="B13" s="6">
        <v>43076</v>
      </c>
      <c r="C13" s="6" t="s">
        <v>22</v>
      </c>
      <c r="D13" s="5" t="s">
        <v>32</v>
      </c>
      <c r="E13" s="5" t="s">
        <v>33</v>
      </c>
      <c r="F13" s="7">
        <v>23813.3</v>
      </c>
      <c r="G13" s="7">
        <f t="shared" si="0"/>
        <v>29290.359</v>
      </c>
      <c r="H13" s="5" t="s">
        <v>12</v>
      </c>
      <c r="I13" s="18" t="str">
        <f t="shared" si="1"/>
        <v>60 dias</v>
      </c>
    </row>
    <row r="14" spans="1:9" x14ac:dyDescent="0.25">
      <c r="A14" s="5" t="s">
        <v>34</v>
      </c>
      <c r="B14" s="6">
        <v>43076</v>
      </c>
      <c r="C14" s="6" t="s">
        <v>22</v>
      </c>
      <c r="D14" s="5" t="s">
        <v>32</v>
      </c>
      <c r="E14" s="5" t="s">
        <v>33</v>
      </c>
      <c r="F14" s="7">
        <v>11166.78</v>
      </c>
      <c r="G14" s="7">
        <f t="shared" si="0"/>
        <v>13735.1394</v>
      </c>
      <c r="H14" s="5" t="s">
        <v>12</v>
      </c>
      <c r="I14" s="18" t="str">
        <f t="shared" si="1"/>
        <v>60 dias</v>
      </c>
    </row>
    <row r="15" spans="1:9" x14ac:dyDescent="0.25">
      <c r="A15" s="5" t="s">
        <v>35</v>
      </c>
      <c r="B15" s="6">
        <v>43082</v>
      </c>
      <c r="C15" s="6" t="s">
        <v>22</v>
      </c>
      <c r="D15" s="5" t="s">
        <v>36</v>
      </c>
      <c r="E15" s="5" t="s">
        <v>37</v>
      </c>
      <c r="F15" s="7">
        <v>18919.560000000001</v>
      </c>
      <c r="G15" s="7">
        <f t="shared" si="0"/>
        <v>23271.058800000003</v>
      </c>
      <c r="H15" s="5" t="s">
        <v>12</v>
      </c>
      <c r="I15" s="18" t="str">
        <f t="shared" si="1"/>
        <v>60 dias</v>
      </c>
    </row>
    <row r="16" spans="1:9" x14ac:dyDescent="0.25">
      <c r="A16" s="5" t="s">
        <v>38</v>
      </c>
      <c r="B16" s="6">
        <v>43073</v>
      </c>
      <c r="C16" s="6" t="s">
        <v>9</v>
      </c>
      <c r="D16" s="5" t="s">
        <v>39</v>
      </c>
      <c r="E16" s="5" t="s">
        <v>40</v>
      </c>
      <c r="F16" s="7">
        <v>145.16</v>
      </c>
      <c r="G16" s="7">
        <f t="shared" si="0"/>
        <v>178.54679999999999</v>
      </c>
      <c r="H16" s="5" t="s">
        <v>12</v>
      </c>
      <c r="I16" s="18" t="str">
        <f t="shared" si="1"/>
        <v>60 dias</v>
      </c>
    </row>
    <row r="17" spans="1:9" x14ac:dyDescent="0.25">
      <c r="A17" s="5" t="s">
        <v>41</v>
      </c>
      <c r="B17" s="6">
        <v>43074</v>
      </c>
      <c r="C17" s="6" t="s">
        <v>9</v>
      </c>
      <c r="D17" s="5" t="s">
        <v>42</v>
      </c>
      <c r="E17" s="5" t="s">
        <v>43</v>
      </c>
      <c r="F17" s="7">
        <v>133</v>
      </c>
      <c r="G17" s="7">
        <f t="shared" si="0"/>
        <v>163.59</v>
      </c>
      <c r="H17" s="5" t="s">
        <v>12</v>
      </c>
      <c r="I17" s="18" t="str">
        <f t="shared" si="1"/>
        <v>60 dias</v>
      </c>
    </row>
    <row r="18" spans="1:9" x14ac:dyDescent="0.25">
      <c r="A18" s="5" t="s">
        <v>44</v>
      </c>
      <c r="B18" s="6">
        <v>43083</v>
      </c>
      <c r="C18" s="6" t="s">
        <v>9</v>
      </c>
      <c r="D18" s="5" t="s">
        <v>10</v>
      </c>
      <c r="E18" s="5" t="s">
        <v>11</v>
      </c>
      <c r="F18" s="7">
        <v>6030.6</v>
      </c>
      <c r="G18" s="7">
        <f t="shared" si="0"/>
        <v>7417.6380000000008</v>
      </c>
      <c r="H18" s="5" t="s">
        <v>12</v>
      </c>
      <c r="I18" s="18" t="str">
        <f t="shared" si="1"/>
        <v>60 dias</v>
      </c>
    </row>
    <row r="19" spans="1:9" x14ac:dyDescent="0.25">
      <c r="A19" s="5" t="s">
        <v>45</v>
      </c>
      <c r="B19" s="6">
        <v>43074</v>
      </c>
      <c r="C19" s="6" t="s">
        <v>9</v>
      </c>
      <c r="D19" s="5" t="s">
        <v>46</v>
      </c>
      <c r="E19" s="5" t="s">
        <v>47</v>
      </c>
      <c r="F19" s="7">
        <v>309.63</v>
      </c>
      <c r="G19" s="7">
        <f t="shared" si="0"/>
        <v>380.8449</v>
      </c>
      <c r="H19" s="5" t="s">
        <v>12</v>
      </c>
      <c r="I19" s="18" t="str">
        <f t="shared" si="1"/>
        <v>60 dias</v>
      </c>
    </row>
    <row r="20" spans="1:9" x14ac:dyDescent="0.25">
      <c r="A20" s="5" t="s">
        <v>48</v>
      </c>
      <c r="B20" s="6">
        <v>43076</v>
      </c>
      <c r="C20" s="6" t="s">
        <v>9</v>
      </c>
      <c r="D20" s="5" t="s">
        <v>49</v>
      </c>
      <c r="E20" s="5" t="s">
        <v>50</v>
      </c>
      <c r="F20" s="7">
        <v>120</v>
      </c>
      <c r="G20" s="7">
        <f t="shared" si="0"/>
        <v>147.6</v>
      </c>
      <c r="H20" s="5" t="s">
        <v>12</v>
      </c>
      <c r="I20" s="18" t="str">
        <f t="shared" si="1"/>
        <v>60 dias</v>
      </c>
    </row>
    <row r="21" spans="1:9" x14ac:dyDescent="0.25">
      <c r="A21" s="5" t="s">
        <v>51</v>
      </c>
      <c r="B21" s="6">
        <v>43082</v>
      </c>
      <c r="C21" s="6" t="s">
        <v>9</v>
      </c>
      <c r="D21" s="5" t="s">
        <v>49</v>
      </c>
      <c r="E21" s="5" t="s">
        <v>50</v>
      </c>
      <c r="F21" s="7">
        <v>10910</v>
      </c>
      <c r="G21" s="7">
        <f t="shared" si="0"/>
        <v>13419.3</v>
      </c>
      <c r="H21" s="5" t="s">
        <v>12</v>
      </c>
      <c r="I21" s="18" t="str">
        <f t="shared" si="1"/>
        <v>60 dias</v>
      </c>
    </row>
    <row r="22" spans="1:9" x14ac:dyDescent="0.25">
      <c r="A22" s="5" t="s">
        <v>52</v>
      </c>
      <c r="B22" s="6">
        <v>43082</v>
      </c>
      <c r="C22" s="6" t="s">
        <v>9</v>
      </c>
      <c r="D22" s="5" t="s">
        <v>53</v>
      </c>
      <c r="E22" s="5" t="s">
        <v>54</v>
      </c>
      <c r="F22" s="7">
        <v>179.88</v>
      </c>
      <c r="G22" s="7">
        <f t="shared" si="0"/>
        <v>221.25239999999999</v>
      </c>
      <c r="H22" s="5" t="s">
        <v>12</v>
      </c>
      <c r="I22" s="18" t="str">
        <f t="shared" si="1"/>
        <v>60 dias</v>
      </c>
    </row>
    <row r="23" spans="1:9" x14ac:dyDescent="0.25">
      <c r="A23" s="5" t="s">
        <v>55</v>
      </c>
      <c r="B23" s="6">
        <v>43080</v>
      </c>
      <c r="C23" s="6" t="s">
        <v>14</v>
      </c>
      <c r="D23" s="5" t="s">
        <v>56</v>
      </c>
      <c r="E23" s="5" t="s">
        <v>57</v>
      </c>
      <c r="F23" s="7">
        <v>167.3</v>
      </c>
      <c r="G23" s="7">
        <f t="shared" si="0"/>
        <v>205.77900000000002</v>
      </c>
      <c r="H23" s="5" t="s">
        <v>12</v>
      </c>
      <c r="I23" s="18" t="str">
        <f t="shared" si="1"/>
        <v>60 dias</v>
      </c>
    </row>
    <row r="24" spans="1:9" x14ac:dyDescent="0.25">
      <c r="A24" s="5" t="s">
        <v>58</v>
      </c>
      <c r="B24" s="6">
        <v>43081</v>
      </c>
      <c r="C24" s="6" t="s">
        <v>9</v>
      </c>
      <c r="D24" s="5" t="s">
        <v>42</v>
      </c>
      <c r="E24" s="5" t="s">
        <v>43</v>
      </c>
      <c r="F24" s="7">
        <v>424</v>
      </c>
      <c r="G24" s="7">
        <f t="shared" si="0"/>
        <v>521.52</v>
      </c>
      <c r="H24" s="5" t="s">
        <v>12</v>
      </c>
      <c r="I24" s="18" t="str">
        <f t="shared" si="1"/>
        <v>60 dias</v>
      </c>
    </row>
    <row r="25" spans="1:9" x14ac:dyDescent="0.25">
      <c r="A25" s="5" t="s">
        <v>59</v>
      </c>
      <c r="B25" s="6">
        <v>43082</v>
      </c>
      <c r="C25" s="6" t="s">
        <v>9</v>
      </c>
      <c r="D25" s="5" t="s">
        <v>46</v>
      </c>
      <c r="E25" s="5" t="s">
        <v>47</v>
      </c>
      <c r="F25" s="7">
        <v>433.52</v>
      </c>
      <c r="G25" s="7">
        <f t="shared" si="0"/>
        <v>533.2296</v>
      </c>
      <c r="H25" s="5" t="s">
        <v>12</v>
      </c>
      <c r="I25" s="18" t="str">
        <f t="shared" si="1"/>
        <v>60 dias</v>
      </c>
    </row>
    <row r="26" spans="1:9" x14ac:dyDescent="0.25">
      <c r="A26" s="5" t="s">
        <v>60</v>
      </c>
      <c r="B26" s="6">
        <v>43082</v>
      </c>
      <c r="C26" s="6" t="s">
        <v>9</v>
      </c>
      <c r="D26" s="5" t="s">
        <v>53</v>
      </c>
      <c r="E26" s="5" t="s">
        <v>54</v>
      </c>
      <c r="F26" s="7">
        <v>3.49</v>
      </c>
      <c r="G26" s="7">
        <f t="shared" si="0"/>
        <v>4.2927</v>
      </c>
      <c r="H26" s="5" t="s">
        <v>61</v>
      </c>
      <c r="I26" s="18" t="str">
        <f t="shared" si="1"/>
        <v>60 dias</v>
      </c>
    </row>
    <row r="27" spans="1:9" x14ac:dyDescent="0.25">
      <c r="A27" s="5" t="s">
        <v>62</v>
      </c>
      <c r="B27" s="6">
        <v>43081</v>
      </c>
      <c r="C27" s="6" t="s">
        <v>14</v>
      </c>
      <c r="D27" s="5" t="s">
        <v>56</v>
      </c>
      <c r="E27" s="5" t="s">
        <v>57</v>
      </c>
      <c r="F27" s="7">
        <v>22.4</v>
      </c>
      <c r="G27" s="7">
        <f t="shared" si="0"/>
        <v>27.552</v>
      </c>
      <c r="H27" s="5" t="s">
        <v>12</v>
      </c>
      <c r="I27" s="18" t="str">
        <f t="shared" si="1"/>
        <v>60 dias</v>
      </c>
    </row>
    <row r="28" spans="1:9" x14ac:dyDescent="0.25">
      <c r="A28" s="5" t="s">
        <v>63</v>
      </c>
      <c r="B28" s="6">
        <v>43075</v>
      </c>
      <c r="C28" s="6" t="s">
        <v>9</v>
      </c>
      <c r="D28" s="5" t="s">
        <v>42</v>
      </c>
      <c r="E28" s="5" t="s">
        <v>43</v>
      </c>
      <c r="F28" s="7">
        <v>271.92</v>
      </c>
      <c r="G28" s="7">
        <f t="shared" si="0"/>
        <v>334.46160000000003</v>
      </c>
      <c r="H28" s="5" t="s">
        <v>12</v>
      </c>
      <c r="I28" s="18" t="str">
        <f t="shared" si="1"/>
        <v>60 dias</v>
      </c>
    </row>
    <row r="29" spans="1:9" x14ac:dyDescent="0.25">
      <c r="A29" s="5" t="s">
        <v>64</v>
      </c>
      <c r="B29" s="6">
        <v>43080</v>
      </c>
      <c r="C29" s="6" t="s">
        <v>9</v>
      </c>
      <c r="D29" s="5" t="s">
        <v>39</v>
      </c>
      <c r="E29" s="5" t="s">
        <v>40</v>
      </c>
      <c r="F29" s="7">
        <v>22.89</v>
      </c>
      <c r="G29" s="7">
        <f t="shared" si="0"/>
        <v>28.154700000000002</v>
      </c>
      <c r="H29" s="5" t="s">
        <v>61</v>
      </c>
      <c r="I29" s="18" t="str">
        <f t="shared" si="1"/>
        <v>60 dias</v>
      </c>
    </row>
    <row r="30" spans="1:9" x14ac:dyDescent="0.25">
      <c r="A30" s="5" t="s">
        <v>65</v>
      </c>
      <c r="B30" s="6">
        <v>43082</v>
      </c>
      <c r="C30" s="6" t="s">
        <v>9</v>
      </c>
      <c r="D30" s="5" t="s">
        <v>46</v>
      </c>
      <c r="E30" s="5" t="s">
        <v>47</v>
      </c>
      <c r="F30" s="7">
        <v>5000</v>
      </c>
      <c r="G30" s="7">
        <f t="shared" si="0"/>
        <v>6150</v>
      </c>
      <c r="H30" s="5" t="s">
        <v>12</v>
      </c>
      <c r="I30" s="18" t="str">
        <f t="shared" si="1"/>
        <v>60 dias</v>
      </c>
    </row>
    <row r="31" spans="1:9" x14ac:dyDescent="0.25">
      <c r="A31" s="5" t="s">
        <v>66</v>
      </c>
      <c r="B31" s="6">
        <v>43082</v>
      </c>
      <c r="C31" s="6" t="s">
        <v>9</v>
      </c>
      <c r="D31" s="5" t="s">
        <v>39</v>
      </c>
      <c r="E31" s="5" t="s">
        <v>40</v>
      </c>
      <c r="F31" s="7">
        <v>30.6</v>
      </c>
      <c r="G31" s="7">
        <f t="shared" si="0"/>
        <v>37.638000000000005</v>
      </c>
      <c r="H31" s="5" t="s">
        <v>61</v>
      </c>
      <c r="I31" s="18" t="str">
        <f t="shared" si="1"/>
        <v>60 dias</v>
      </c>
    </row>
    <row r="32" spans="1:9" x14ac:dyDescent="0.25">
      <c r="A32" s="5" t="s">
        <v>67</v>
      </c>
      <c r="B32" s="6">
        <v>43083</v>
      </c>
      <c r="C32" s="6" t="s">
        <v>9</v>
      </c>
      <c r="D32" s="5" t="s">
        <v>53</v>
      </c>
      <c r="E32" s="5" t="s">
        <v>54</v>
      </c>
      <c r="F32" s="7">
        <v>5.87</v>
      </c>
      <c r="G32" s="7">
        <f t="shared" si="0"/>
        <v>7.2201000000000004</v>
      </c>
      <c r="H32" s="5" t="s">
        <v>61</v>
      </c>
      <c r="I32" s="18" t="str">
        <f t="shared" si="1"/>
        <v>60 dias</v>
      </c>
    </row>
    <row r="33" spans="1:9" x14ac:dyDescent="0.25">
      <c r="A33" s="5" t="s">
        <v>68</v>
      </c>
      <c r="B33" s="6">
        <v>43085</v>
      </c>
      <c r="C33" s="6" t="s">
        <v>9</v>
      </c>
      <c r="D33" s="5" t="s">
        <v>39</v>
      </c>
      <c r="E33" s="5" t="s">
        <v>40</v>
      </c>
      <c r="F33" s="7">
        <v>2.98</v>
      </c>
      <c r="G33" s="7">
        <f t="shared" si="0"/>
        <v>3.6654</v>
      </c>
      <c r="H33" s="5" t="s">
        <v>61</v>
      </c>
      <c r="I33" s="18" t="str">
        <f t="shared" si="1"/>
        <v>60 dias</v>
      </c>
    </row>
    <row r="34" spans="1:9" x14ac:dyDescent="0.25">
      <c r="A34" s="5" t="s">
        <v>69</v>
      </c>
      <c r="B34" s="6">
        <v>43081</v>
      </c>
      <c r="C34" s="6" t="s">
        <v>9</v>
      </c>
      <c r="D34" s="5" t="s">
        <v>39</v>
      </c>
      <c r="E34" s="5" t="s">
        <v>40</v>
      </c>
      <c r="F34" s="7">
        <v>525.26</v>
      </c>
      <c r="G34" s="7">
        <f t="shared" si="0"/>
        <v>646.06979999999999</v>
      </c>
      <c r="H34" s="5" t="s">
        <v>12</v>
      </c>
      <c r="I34" s="18" t="str">
        <f t="shared" si="1"/>
        <v>60 dias</v>
      </c>
    </row>
    <row r="35" spans="1:9" x14ac:dyDescent="0.25">
      <c r="A35" s="5" t="s">
        <v>70</v>
      </c>
      <c r="B35" s="6">
        <v>43090</v>
      </c>
      <c r="C35" s="6" t="s">
        <v>9</v>
      </c>
      <c r="D35" s="5" t="s">
        <v>53</v>
      </c>
      <c r="E35" s="5" t="s">
        <v>54</v>
      </c>
      <c r="F35" s="7">
        <v>36.4</v>
      </c>
      <c r="G35" s="7">
        <f t="shared" si="0"/>
        <v>44.771999999999998</v>
      </c>
      <c r="H35" s="5" t="s">
        <v>61</v>
      </c>
      <c r="I35" s="18" t="str">
        <f t="shared" si="1"/>
        <v>60 dias</v>
      </c>
    </row>
    <row r="36" spans="1:9" x14ac:dyDescent="0.25">
      <c r="A36" s="5" t="s">
        <v>71</v>
      </c>
      <c r="B36" s="6">
        <v>43087</v>
      </c>
      <c r="C36" s="6" t="s">
        <v>9</v>
      </c>
      <c r="D36" s="5" t="s">
        <v>39</v>
      </c>
      <c r="E36" s="5" t="s">
        <v>40</v>
      </c>
      <c r="F36" s="7">
        <v>7.1</v>
      </c>
      <c r="G36" s="7">
        <f t="shared" si="0"/>
        <v>8.7330000000000005</v>
      </c>
      <c r="H36" s="5" t="s">
        <v>61</v>
      </c>
      <c r="I36" s="18" t="str">
        <f t="shared" si="1"/>
        <v>60 dias</v>
      </c>
    </row>
    <row r="37" spans="1:9" x14ac:dyDescent="0.25">
      <c r="A37" s="5" t="s">
        <v>72</v>
      </c>
      <c r="B37" s="6">
        <v>43089</v>
      </c>
      <c r="C37" s="6" t="s">
        <v>9</v>
      </c>
      <c r="D37" s="5" t="s">
        <v>46</v>
      </c>
      <c r="E37" s="5" t="s">
        <v>47</v>
      </c>
      <c r="F37" s="7">
        <v>93.98</v>
      </c>
      <c r="G37" s="7">
        <f t="shared" si="0"/>
        <v>115.59540000000001</v>
      </c>
      <c r="H37" s="5" t="s">
        <v>61</v>
      </c>
      <c r="I37" s="18" t="str">
        <f t="shared" si="1"/>
        <v>60 dias</v>
      </c>
    </row>
    <row r="38" spans="1:9" x14ac:dyDescent="0.25">
      <c r="A38" s="5" t="s">
        <v>73</v>
      </c>
      <c r="B38" s="6">
        <v>43087</v>
      </c>
      <c r="C38" s="6" t="s">
        <v>14</v>
      </c>
      <c r="D38" s="5" t="s">
        <v>56</v>
      </c>
      <c r="E38" s="5" t="s">
        <v>57</v>
      </c>
      <c r="F38" s="7">
        <v>6.44</v>
      </c>
      <c r="G38" s="7">
        <f t="shared" si="0"/>
        <v>7.9212000000000007</v>
      </c>
      <c r="H38" s="5" t="s">
        <v>12</v>
      </c>
      <c r="I38" s="18" t="str">
        <f t="shared" si="1"/>
        <v>60 dias</v>
      </c>
    </row>
    <row r="39" spans="1:9" x14ac:dyDescent="0.25">
      <c r="A39" s="5" t="s">
        <v>74</v>
      </c>
      <c r="B39" s="6">
        <v>43087</v>
      </c>
      <c r="C39" s="6" t="s">
        <v>9</v>
      </c>
      <c r="D39" s="5" t="s">
        <v>39</v>
      </c>
      <c r="E39" s="5" t="s">
        <v>40</v>
      </c>
      <c r="F39" s="7">
        <v>26.72</v>
      </c>
      <c r="G39" s="7">
        <f t="shared" si="0"/>
        <v>32.865600000000001</v>
      </c>
      <c r="H39" s="5" t="s">
        <v>61</v>
      </c>
      <c r="I39" s="18" t="str">
        <f t="shared" si="1"/>
        <v>60 dias</v>
      </c>
    </row>
    <row r="40" spans="1:9" x14ac:dyDescent="0.25">
      <c r="A40" s="5" t="s">
        <v>75</v>
      </c>
      <c r="B40" s="6">
        <v>43089</v>
      </c>
      <c r="C40" s="6" t="s">
        <v>9</v>
      </c>
      <c r="D40" s="5" t="s">
        <v>39</v>
      </c>
      <c r="E40" s="5" t="s">
        <v>40</v>
      </c>
      <c r="F40" s="7">
        <v>95</v>
      </c>
      <c r="G40" s="7">
        <f t="shared" si="0"/>
        <v>116.85</v>
      </c>
      <c r="H40" s="5" t="s">
        <v>61</v>
      </c>
      <c r="I40" s="18" t="str">
        <f t="shared" si="1"/>
        <v>60 dias</v>
      </c>
    </row>
    <row r="41" spans="1:9" x14ac:dyDescent="0.25">
      <c r="A41" s="5" t="s">
        <v>76</v>
      </c>
      <c r="B41" s="6">
        <v>43088</v>
      </c>
      <c r="C41" s="6" t="s">
        <v>14</v>
      </c>
      <c r="D41" s="5" t="s">
        <v>56</v>
      </c>
      <c r="E41" s="5" t="s">
        <v>57</v>
      </c>
      <c r="F41" s="7">
        <v>25.43</v>
      </c>
      <c r="G41" s="7">
        <f t="shared" si="0"/>
        <v>31.2789</v>
      </c>
      <c r="H41" s="5" t="s">
        <v>12</v>
      </c>
      <c r="I41" s="18" t="str">
        <f t="shared" si="1"/>
        <v>60 dias</v>
      </c>
    </row>
    <row r="42" spans="1:9" x14ac:dyDescent="0.25">
      <c r="A42" s="5" t="s">
        <v>77</v>
      </c>
      <c r="B42" s="6">
        <v>43090</v>
      </c>
      <c r="C42" s="6" t="s">
        <v>9</v>
      </c>
      <c r="D42" s="5" t="s">
        <v>42</v>
      </c>
      <c r="E42" s="5" t="s">
        <v>43</v>
      </c>
      <c r="F42" s="7">
        <v>22.56</v>
      </c>
      <c r="G42" s="7">
        <f t="shared" si="0"/>
        <v>27.748799999999999</v>
      </c>
      <c r="H42" s="5" t="s">
        <v>61</v>
      </c>
      <c r="I42" s="18" t="str">
        <f t="shared" si="1"/>
        <v>60 dias</v>
      </c>
    </row>
    <row r="43" spans="1:9" x14ac:dyDescent="0.25">
      <c r="A43" s="5" t="s">
        <v>78</v>
      </c>
      <c r="B43" s="6">
        <v>43090</v>
      </c>
      <c r="C43" s="6" t="s">
        <v>9</v>
      </c>
      <c r="D43" s="5" t="s">
        <v>39</v>
      </c>
      <c r="E43" s="5" t="s">
        <v>40</v>
      </c>
      <c r="F43" s="7">
        <v>1160.6400000000001</v>
      </c>
      <c r="G43" s="7">
        <f t="shared" si="0"/>
        <v>1427.5872000000002</v>
      </c>
      <c r="H43" s="5" t="s">
        <v>12</v>
      </c>
      <c r="I43" s="18" t="str">
        <f t="shared" si="1"/>
        <v>60 dias</v>
      </c>
    </row>
    <row r="44" spans="1:9" x14ac:dyDescent="0.25">
      <c r="A44" s="5" t="s">
        <v>79</v>
      </c>
      <c r="B44" s="6">
        <v>43082</v>
      </c>
      <c r="C44" s="6" t="s">
        <v>9</v>
      </c>
      <c r="D44" s="5" t="s">
        <v>49</v>
      </c>
      <c r="E44" s="5" t="s">
        <v>50</v>
      </c>
      <c r="F44" s="7">
        <v>1620</v>
      </c>
      <c r="G44" s="7">
        <f t="shared" si="0"/>
        <v>1992.6</v>
      </c>
      <c r="H44" s="5" t="s">
        <v>12</v>
      </c>
      <c r="I44" s="18" t="str">
        <f t="shared" si="1"/>
        <v>60 dias</v>
      </c>
    </row>
    <row r="45" spans="1:9" x14ac:dyDescent="0.25">
      <c r="A45" s="5" t="s">
        <v>80</v>
      </c>
      <c r="B45" s="6">
        <v>43074</v>
      </c>
      <c r="C45" s="6" t="s">
        <v>18</v>
      </c>
      <c r="D45" s="5" t="s">
        <v>81</v>
      </c>
      <c r="E45" s="5" t="s">
        <v>82</v>
      </c>
      <c r="F45" s="7">
        <v>5177.5</v>
      </c>
      <c r="G45" s="7">
        <f t="shared" si="0"/>
        <v>6368.3249999999998</v>
      </c>
      <c r="H45" s="5" t="s">
        <v>12</v>
      </c>
      <c r="I45" s="18" t="str">
        <f t="shared" si="1"/>
        <v>30 dias</v>
      </c>
    </row>
    <row r="46" spans="1:9" x14ac:dyDescent="0.25">
      <c r="A46" s="5" t="s">
        <v>83</v>
      </c>
      <c r="B46" s="6">
        <v>43073</v>
      </c>
      <c r="C46" s="6" t="s">
        <v>22</v>
      </c>
      <c r="D46" s="5" t="s">
        <v>10</v>
      </c>
      <c r="E46" s="5" t="s">
        <v>11</v>
      </c>
      <c r="F46" s="7">
        <v>10476.719999999999</v>
      </c>
      <c r="G46" s="7">
        <f t="shared" si="0"/>
        <v>12886.365599999999</v>
      </c>
      <c r="H46" s="5" t="s">
        <v>12</v>
      </c>
      <c r="I46" s="18" t="str">
        <f t="shared" si="1"/>
        <v>60 dias</v>
      </c>
    </row>
    <row r="47" spans="1:9" x14ac:dyDescent="0.25">
      <c r="A47" s="5" t="s">
        <v>84</v>
      </c>
      <c r="B47" s="6">
        <v>43096</v>
      </c>
      <c r="C47" s="6" t="s">
        <v>18</v>
      </c>
      <c r="D47" s="5" t="s">
        <v>81</v>
      </c>
      <c r="E47" s="5" t="s">
        <v>82</v>
      </c>
      <c r="F47" s="7">
        <v>8000</v>
      </c>
      <c r="G47" s="7">
        <f t="shared" si="0"/>
        <v>9840</v>
      </c>
      <c r="H47" s="5" t="s">
        <v>12</v>
      </c>
      <c r="I47" s="18" t="str">
        <f t="shared" si="1"/>
        <v>30 dias</v>
      </c>
    </row>
    <row r="48" spans="1:9" x14ac:dyDescent="0.25">
      <c r="A48" s="5" t="s">
        <v>85</v>
      </c>
      <c r="B48" s="6">
        <v>43076</v>
      </c>
      <c r="C48" s="6" t="s">
        <v>18</v>
      </c>
      <c r="D48" s="5" t="s">
        <v>27</v>
      </c>
      <c r="E48" s="5" t="s">
        <v>28</v>
      </c>
      <c r="F48" s="7">
        <v>176</v>
      </c>
      <c r="G48" s="7">
        <f t="shared" si="0"/>
        <v>216.48000000000002</v>
      </c>
      <c r="H48" s="5" t="s">
        <v>12</v>
      </c>
      <c r="I48" s="18" t="str">
        <f t="shared" si="1"/>
        <v>30 dias</v>
      </c>
    </row>
    <row r="49" spans="1:9" x14ac:dyDescent="0.25">
      <c r="A49" s="5" t="s">
        <v>86</v>
      </c>
      <c r="B49" s="6">
        <v>43088</v>
      </c>
      <c r="C49" s="6" t="s">
        <v>18</v>
      </c>
      <c r="D49" s="5" t="s">
        <v>87</v>
      </c>
      <c r="E49" s="5" t="s">
        <v>88</v>
      </c>
      <c r="F49" s="7">
        <v>465</v>
      </c>
      <c r="G49" s="7">
        <f t="shared" si="0"/>
        <v>571.95000000000005</v>
      </c>
      <c r="H49" s="5" t="s">
        <v>12</v>
      </c>
      <c r="I49" s="18" t="str">
        <f t="shared" si="1"/>
        <v>30 dias</v>
      </c>
    </row>
    <row r="50" spans="1:9" x14ac:dyDescent="0.25">
      <c r="A50" s="5" t="s">
        <v>89</v>
      </c>
      <c r="B50" s="6">
        <v>43095</v>
      </c>
      <c r="C50" s="6" t="s">
        <v>18</v>
      </c>
      <c r="D50" s="5" t="s">
        <v>87</v>
      </c>
      <c r="E50" s="5" t="s">
        <v>88</v>
      </c>
      <c r="F50" s="7">
        <v>465</v>
      </c>
      <c r="G50" s="7">
        <f t="shared" si="0"/>
        <v>571.95000000000005</v>
      </c>
      <c r="H50" s="5" t="s">
        <v>12</v>
      </c>
      <c r="I50" s="18" t="str">
        <f t="shared" si="1"/>
        <v>30 dias</v>
      </c>
    </row>
    <row r="51" spans="1:9" x14ac:dyDescent="0.25">
      <c r="A51" s="5" t="s">
        <v>90</v>
      </c>
      <c r="B51" s="6">
        <v>43095</v>
      </c>
      <c r="C51" s="6" t="s">
        <v>18</v>
      </c>
      <c r="D51" s="5" t="s">
        <v>87</v>
      </c>
      <c r="E51" s="5" t="s">
        <v>88</v>
      </c>
      <c r="F51" s="7">
        <v>465</v>
      </c>
      <c r="G51" s="7">
        <f t="shared" si="0"/>
        <v>571.95000000000005</v>
      </c>
      <c r="H51" s="5" t="s">
        <v>12</v>
      </c>
      <c r="I51" s="18" t="str">
        <f t="shared" si="1"/>
        <v>30 dias</v>
      </c>
    </row>
    <row r="52" spans="1:9" x14ac:dyDescent="0.25">
      <c r="A52" s="5" t="s">
        <v>91</v>
      </c>
      <c r="B52" s="6">
        <v>43088</v>
      </c>
      <c r="C52" s="6" t="s">
        <v>18</v>
      </c>
      <c r="D52" s="5" t="s">
        <v>87</v>
      </c>
      <c r="E52" s="5" t="s">
        <v>88</v>
      </c>
      <c r="F52" s="7">
        <v>2280</v>
      </c>
      <c r="G52" s="7">
        <f t="shared" si="0"/>
        <v>2804.4</v>
      </c>
      <c r="H52" s="5" t="s">
        <v>12</v>
      </c>
      <c r="I52" s="18" t="str">
        <f t="shared" si="1"/>
        <v>30 dias</v>
      </c>
    </row>
    <row r="53" spans="1:9" x14ac:dyDescent="0.25">
      <c r="A53" s="5" t="s">
        <v>92</v>
      </c>
      <c r="B53" s="6">
        <v>43095</v>
      </c>
      <c r="C53" s="6" t="s">
        <v>18</v>
      </c>
      <c r="D53" s="5" t="s">
        <v>87</v>
      </c>
      <c r="E53" s="5" t="s">
        <v>88</v>
      </c>
      <c r="F53" s="7">
        <v>2280</v>
      </c>
      <c r="G53" s="7">
        <f t="shared" si="0"/>
        <v>2804.4</v>
      </c>
      <c r="H53" s="5" t="s">
        <v>12</v>
      </c>
      <c r="I53" s="18" t="str">
        <f t="shared" si="1"/>
        <v>30 dias</v>
      </c>
    </row>
    <row r="54" spans="1:9" x14ac:dyDescent="0.25">
      <c r="A54" s="5" t="s">
        <v>93</v>
      </c>
      <c r="B54" s="6">
        <v>43097</v>
      </c>
      <c r="C54" s="6" t="s">
        <v>18</v>
      </c>
      <c r="D54" s="5" t="s">
        <v>19</v>
      </c>
      <c r="E54" s="5" t="s">
        <v>20</v>
      </c>
      <c r="F54" s="7">
        <v>4572.6000000000004</v>
      </c>
      <c r="G54" s="7">
        <f t="shared" si="0"/>
        <v>5624.2980000000007</v>
      </c>
      <c r="H54" s="5" t="s">
        <v>12</v>
      </c>
      <c r="I54" s="18" t="str">
        <f t="shared" si="1"/>
        <v>30 dias</v>
      </c>
    </row>
    <row r="55" spans="1:9" x14ac:dyDescent="0.25">
      <c r="A55" s="5" t="s">
        <v>94</v>
      </c>
      <c r="B55" s="6">
        <v>43097</v>
      </c>
      <c r="C55" s="6" t="s">
        <v>18</v>
      </c>
      <c r="D55" s="5" t="s">
        <v>19</v>
      </c>
      <c r="E55" s="5" t="s">
        <v>20</v>
      </c>
      <c r="F55" s="7">
        <v>90</v>
      </c>
      <c r="G55" s="7">
        <f t="shared" si="0"/>
        <v>110.7</v>
      </c>
      <c r="H55" s="5" t="s">
        <v>12</v>
      </c>
      <c r="I55" s="18" t="str">
        <f t="shared" si="1"/>
        <v>30 dias</v>
      </c>
    </row>
    <row r="56" spans="1:9" x14ac:dyDescent="0.25">
      <c r="A56" s="5" t="s">
        <v>95</v>
      </c>
      <c r="B56" s="6">
        <v>43095</v>
      </c>
      <c r="C56" s="6" t="s">
        <v>18</v>
      </c>
      <c r="D56" s="5" t="s">
        <v>81</v>
      </c>
      <c r="E56" s="5" t="s">
        <v>82</v>
      </c>
      <c r="F56" s="7">
        <v>1494</v>
      </c>
      <c r="G56" s="7">
        <f t="shared" si="0"/>
        <v>1837.62</v>
      </c>
      <c r="H56" s="5" t="s">
        <v>12</v>
      </c>
      <c r="I56" s="18" t="str">
        <f t="shared" si="1"/>
        <v>30 dias</v>
      </c>
    </row>
    <row r="57" spans="1:9" x14ac:dyDescent="0.25">
      <c r="A57" s="5" t="s">
        <v>96</v>
      </c>
      <c r="B57" s="6">
        <v>43075</v>
      </c>
      <c r="C57" s="6" t="s">
        <v>9</v>
      </c>
      <c r="D57" s="5" t="s">
        <v>97</v>
      </c>
      <c r="E57" s="5" t="s">
        <v>98</v>
      </c>
      <c r="F57" s="7">
        <v>59.4</v>
      </c>
      <c r="G57" s="7">
        <f t="shared" si="0"/>
        <v>73.061999999999998</v>
      </c>
      <c r="H57" s="5" t="s">
        <v>61</v>
      </c>
      <c r="I57" s="18" t="str">
        <f t="shared" si="1"/>
        <v>60 dias</v>
      </c>
    </row>
    <row r="58" spans="1:9" x14ac:dyDescent="0.25">
      <c r="A58" s="5" t="s">
        <v>99</v>
      </c>
      <c r="B58" s="6">
        <v>43087</v>
      </c>
      <c r="C58" s="6" t="s">
        <v>9</v>
      </c>
      <c r="D58" s="5" t="s">
        <v>97</v>
      </c>
      <c r="E58" s="5" t="s">
        <v>98</v>
      </c>
      <c r="F58" s="7">
        <v>78.239999999999995</v>
      </c>
      <c r="G58" s="7">
        <f t="shared" si="0"/>
        <v>96.235199999999992</v>
      </c>
      <c r="H58" s="5" t="s">
        <v>61</v>
      </c>
      <c r="I58" s="18" t="str">
        <f t="shared" si="1"/>
        <v>60 dias</v>
      </c>
    </row>
    <row r="59" spans="1:9" x14ac:dyDescent="0.25">
      <c r="A59" s="5" t="s">
        <v>100</v>
      </c>
      <c r="B59" s="6">
        <v>43097</v>
      </c>
      <c r="C59" s="6" t="s">
        <v>9</v>
      </c>
      <c r="D59" s="5" t="s">
        <v>46</v>
      </c>
      <c r="E59" s="5" t="s">
        <v>47</v>
      </c>
      <c r="F59" s="7">
        <v>269.16000000000003</v>
      </c>
      <c r="G59" s="7">
        <f t="shared" si="0"/>
        <v>331.06680000000006</v>
      </c>
      <c r="H59" s="5" t="s">
        <v>12</v>
      </c>
      <c r="I59" s="18" t="str">
        <f t="shared" si="1"/>
        <v>60 dias</v>
      </c>
    </row>
    <row r="60" spans="1:9" x14ac:dyDescent="0.25">
      <c r="A60" s="5" t="s">
        <v>101</v>
      </c>
      <c r="B60" s="6">
        <v>43097</v>
      </c>
      <c r="C60" s="6" t="s">
        <v>14</v>
      </c>
      <c r="D60" s="5" t="s">
        <v>102</v>
      </c>
      <c r="E60" s="5" t="s">
        <v>103</v>
      </c>
      <c r="F60" s="7">
        <v>900</v>
      </c>
      <c r="G60" s="7">
        <f t="shared" si="0"/>
        <v>1107</v>
      </c>
      <c r="H60" s="5" t="s">
        <v>12</v>
      </c>
      <c r="I60" s="18" t="str">
        <f t="shared" si="1"/>
        <v>60 dias</v>
      </c>
    </row>
    <row r="61" spans="1:9" x14ac:dyDescent="0.25">
      <c r="A61" s="5" t="s">
        <v>104</v>
      </c>
      <c r="B61" s="6">
        <v>43097</v>
      </c>
      <c r="C61" s="6" t="s">
        <v>9</v>
      </c>
      <c r="D61" s="5" t="s">
        <v>46</v>
      </c>
      <c r="E61" s="5" t="s">
        <v>47</v>
      </c>
      <c r="F61" s="7">
        <v>31.68</v>
      </c>
      <c r="G61" s="7">
        <f t="shared" si="0"/>
        <v>38.9664</v>
      </c>
      <c r="H61" s="5" t="s">
        <v>61</v>
      </c>
      <c r="I61" s="18" t="str">
        <f t="shared" si="1"/>
        <v>60 dias</v>
      </c>
    </row>
    <row r="62" spans="1:9" x14ac:dyDescent="0.25">
      <c r="A62" s="5" t="s">
        <v>105</v>
      </c>
      <c r="B62" s="6">
        <v>43088</v>
      </c>
      <c r="C62" s="6" t="s">
        <v>9</v>
      </c>
      <c r="D62" s="5" t="s">
        <v>97</v>
      </c>
      <c r="E62" s="5" t="s">
        <v>98</v>
      </c>
      <c r="F62" s="7">
        <v>52.5</v>
      </c>
      <c r="G62" s="7">
        <f t="shared" si="0"/>
        <v>64.575000000000003</v>
      </c>
      <c r="H62" s="5" t="s">
        <v>61</v>
      </c>
      <c r="I62" s="18" t="str">
        <f t="shared" si="1"/>
        <v>60 dias</v>
      </c>
    </row>
    <row r="63" spans="1:9" x14ac:dyDescent="0.25">
      <c r="A63" s="5" t="s">
        <v>106</v>
      </c>
      <c r="B63" s="6">
        <v>43098</v>
      </c>
      <c r="C63" s="6" t="s">
        <v>18</v>
      </c>
      <c r="D63" s="5" t="s">
        <v>27</v>
      </c>
      <c r="E63" s="5" t="s">
        <v>28</v>
      </c>
      <c r="F63" s="7">
        <v>1496</v>
      </c>
      <c r="G63" s="7">
        <f t="shared" si="0"/>
        <v>1840.08</v>
      </c>
      <c r="H63" s="5" t="s">
        <v>12</v>
      </c>
      <c r="I63" s="18" t="str">
        <f t="shared" si="1"/>
        <v>30 dias</v>
      </c>
    </row>
    <row r="64" spans="1:9" x14ac:dyDescent="0.25">
      <c r="A64" s="5" t="s">
        <v>107</v>
      </c>
      <c r="B64" s="6">
        <v>43087</v>
      </c>
      <c r="C64" s="6" t="s">
        <v>9</v>
      </c>
      <c r="D64" s="5" t="s">
        <v>49</v>
      </c>
      <c r="E64" s="5" t="s">
        <v>50</v>
      </c>
      <c r="F64" s="7">
        <v>250</v>
      </c>
      <c r="G64" s="7">
        <f t="shared" si="0"/>
        <v>307.5</v>
      </c>
      <c r="H64" s="5" t="s">
        <v>12</v>
      </c>
      <c r="I64" s="18" t="str">
        <f t="shared" si="1"/>
        <v>60 dias</v>
      </c>
    </row>
    <row r="65" spans="1:9" x14ac:dyDescent="0.25">
      <c r="A65" s="5" t="s">
        <v>108</v>
      </c>
      <c r="B65" s="6">
        <v>43087</v>
      </c>
      <c r="C65" s="6" t="s">
        <v>9</v>
      </c>
      <c r="D65" s="5" t="s">
        <v>49</v>
      </c>
      <c r="E65" s="5" t="s">
        <v>50</v>
      </c>
      <c r="F65" s="7">
        <v>250</v>
      </c>
      <c r="G65" s="7">
        <f t="shared" si="0"/>
        <v>307.5</v>
      </c>
      <c r="H65" s="5" t="s">
        <v>12</v>
      </c>
      <c r="I65" s="18" t="str">
        <f t="shared" si="1"/>
        <v>60 dias</v>
      </c>
    </row>
    <row r="66" spans="1:9" x14ac:dyDescent="0.25">
      <c r="A66" s="5" t="s">
        <v>109</v>
      </c>
      <c r="B66" s="6">
        <v>43091</v>
      </c>
      <c r="C66" s="6" t="s">
        <v>9</v>
      </c>
      <c r="D66" s="5" t="s">
        <v>49</v>
      </c>
      <c r="E66" s="5" t="s">
        <v>50</v>
      </c>
      <c r="F66" s="7">
        <v>895</v>
      </c>
      <c r="G66" s="7">
        <f t="shared" si="0"/>
        <v>1100.8499999999999</v>
      </c>
      <c r="H66" s="5" t="s">
        <v>12</v>
      </c>
      <c r="I66" s="18" t="str">
        <f t="shared" si="1"/>
        <v>60 dias</v>
      </c>
    </row>
    <row r="67" spans="1:9" x14ac:dyDescent="0.25">
      <c r="A67" s="5" t="s">
        <v>110</v>
      </c>
      <c r="B67" s="6">
        <v>43088</v>
      </c>
      <c r="C67" s="6" t="s">
        <v>22</v>
      </c>
      <c r="D67" s="5" t="s">
        <v>36</v>
      </c>
      <c r="E67" s="5" t="s">
        <v>37</v>
      </c>
      <c r="F67" s="7">
        <v>5471.15</v>
      </c>
      <c r="G67" s="7">
        <f t="shared" si="0"/>
        <v>6729.5144999999993</v>
      </c>
      <c r="H67" s="5" t="s">
        <v>12</v>
      </c>
      <c r="I67" s="18" t="str">
        <f t="shared" si="1"/>
        <v>60 dias</v>
      </c>
    </row>
    <row r="68" spans="1:9" x14ac:dyDescent="0.25">
      <c r="A68" s="5" t="s">
        <v>111</v>
      </c>
      <c r="B68" s="6">
        <v>43073</v>
      </c>
      <c r="C68" s="6" t="s">
        <v>22</v>
      </c>
      <c r="D68" s="5" t="s">
        <v>112</v>
      </c>
      <c r="E68" s="5" t="s">
        <v>33</v>
      </c>
      <c r="F68" s="7">
        <v>8381.76</v>
      </c>
      <c r="G68" s="7">
        <f t="shared" si="0"/>
        <v>10309.5648</v>
      </c>
      <c r="H68" s="5" t="s">
        <v>12</v>
      </c>
      <c r="I68" s="18" t="str">
        <f t="shared" si="1"/>
        <v>60 dias</v>
      </c>
    </row>
    <row r="69" spans="1:9" x14ac:dyDescent="0.25">
      <c r="A69" s="5" t="s">
        <v>113</v>
      </c>
      <c r="B69" s="6">
        <v>43080</v>
      </c>
      <c r="C69" s="6" t="s">
        <v>22</v>
      </c>
      <c r="D69" s="5" t="s">
        <v>112</v>
      </c>
      <c r="E69" s="5" t="s">
        <v>33</v>
      </c>
      <c r="F69" s="7">
        <v>16016.83</v>
      </c>
      <c r="G69" s="7">
        <f t="shared" si="0"/>
        <v>19700.7009</v>
      </c>
      <c r="H69" s="5" t="s">
        <v>12</v>
      </c>
      <c r="I69" s="18" t="str">
        <f t="shared" si="1"/>
        <v>60 dias</v>
      </c>
    </row>
    <row r="72" spans="1:9" x14ac:dyDescent="0.25">
      <c r="A72" s="12" t="s">
        <v>114</v>
      </c>
      <c r="B72" s="12"/>
      <c r="C72" s="12"/>
      <c r="D72" s="12"/>
      <c r="E72" s="14">
        <f>SUM($G$5:$G$69)</f>
        <v>233049.84660000008</v>
      </c>
    </row>
    <row r="74" spans="1:9" x14ac:dyDescent="0.25">
      <c r="A74" s="12" t="s">
        <v>115</v>
      </c>
      <c r="B74" s="12"/>
      <c r="C74" s="12"/>
      <c r="D74" s="12"/>
    </row>
    <row r="75" spans="1:9" x14ac:dyDescent="0.25">
      <c r="A75" s="8" t="s">
        <v>3</v>
      </c>
      <c r="B75" s="8" t="s">
        <v>116</v>
      </c>
    </row>
    <row r="76" spans="1:9" ht="14.4" x14ac:dyDescent="0.3">
      <c r="A76" s="9" t="s">
        <v>14</v>
      </c>
      <c r="B76" s="15">
        <f>SUMIF($C$5:$C$69,"Qualidade",$G$5:$G$69)</f>
        <v>19720.7991</v>
      </c>
    </row>
    <row r="77" spans="1:9" ht="14.4" x14ac:dyDescent="0.3">
      <c r="A77" s="9" t="s">
        <v>9</v>
      </c>
      <c r="B77" s="15">
        <f>SUMIF($C$5:$C$69,"Manutenção",$G$5:$G$69)</f>
        <v>43240.871399999982</v>
      </c>
    </row>
    <row r="78" spans="1:9" ht="14.4" x14ac:dyDescent="0.3">
      <c r="A78" s="9" t="s">
        <v>18</v>
      </c>
      <c r="B78" s="15">
        <f>SUMIF($C$5:$C$69,"Logística",$G$5:$G$69)</f>
        <v>35127.693000000007</v>
      </c>
    </row>
    <row r="79" spans="1:9" ht="14.4" x14ac:dyDescent="0.3">
      <c r="A79" s="9" t="s">
        <v>22</v>
      </c>
      <c r="B79" s="15">
        <f>SUMIF($C$5:$C$69,"Produção",$G$5:$G$69)</f>
        <v>134960.48310000001</v>
      </c>
    </row>
    <row r="81" spans="1:9" x14ac:dyDescent="0.25">
      <c r="A81" s="12" t="s">
        <v>117</v>
      </c>
      <c r="B81" s="12"/>
      <c r="C81" s="12"/>
      <c r="D81" s="12"/>
      <c r="E81" s="16">
        <f>SUMIFS($G$5:$G$69,$E$5:$E$69,"RESINASABC",$C$5:$C$69,"Produção")</f>
        <v>25605.020700000001</v>
      </c>
    </row>
    <row r="82" spans="1:9" x14ac:dyDescent="0.25">
      <c r="A82" s="12" t="s">
        <v>123</v>
      </c>
      <c r="B82" s="12"/>
      <c r="C82" s="12"/>
      <c r="D82" s="12"/>
      <c r="E82" s="16">
        <f>SUMIFS($G$5:$G$69,$E$5:$E$69,"RESINASABC",$C$5:$C$69,"Manutenção")</f>
        <v>14376.978000000001</v>
      </c>
    </row>
    <row r="84" spans="1:9" x14ac:dyDescent="0.25">
      <c r="A84" s="12" t="s">
        <v>118</v>
      </c>
      <c r="B84" s="12"/>
      <c r="C84" s="12"/>
      <c r="D84" s="12"/>
      <c r="E84" s="2">
        <f>COUNTIF($H$5:$H$69,"CartaoDinheiro")</f>
        <v>15</v>
      </c>
    </row>
    <row r="86" spans="1:9" x14ac:dyDescent="0.25">
      <c r="A86" s="12" t="s">
        <v>119</v>
      </c>
      <c r="B86" s="12"/>
      <c r="C86" s="12"/>
      <c r="D86" s="12"/>
      <c r="E86" s="2">
        <f>COUNTIFS($C$5:$C$69,"Manutenção",$H$5:$H$69,"TransfBanc")</f>
        <v>19</v>
      </c>
    </row>
    <row r="88" spans="1:9" x14ac:dyDescent="0.25">
      <c r="F88" s="10" t="s">
        <v>6</v>
      </c>
      <c r="G88" s="10" t="s">
        <v>120</v>
      </c>
      <c r="H88" s="10"/>
      <c r="I88" s="10"/>
    </row>
    <row r="89" spans="1:9" x14ac:dyDescent="0.25">
      <c r="A89" s="12" t="s">
        <v>121</v>
      </c>
      <c r="B89" s="12"/>
      <c r="C89" s="12"/>
      <c r="D89" s="12"/>
      <c r="F89" s="16">
        <f>SUBTOTAL(9,$F$5:$F$69)</f>
        <v>189471.41999999998</v>
      </c>
      <c r="G89" s="16">
        <f>SUBTOTAL(9,$G$5:$G$69)</f>
        <v>233049.84660000008</v>
      </c>
    </row>
    <row r="90" spans="1:9" ht="12.45" customHeight="1" x14ac:dyDescent="0.25">
      <c r="A90" s="11" t="s">
        <v>122</v>
      </c>
      <c r="B90" s="11"/>
      <c r="C90" s="11"/>
      <c r="D90" s="11"/>
    </row>
    <row r="91" spans="1:9" x14ac:dyDescent="0.25">
      <c r="A91" s="11"/>
      <c r="B91" s="11"/>
      <c r="C91" s="11"/>
      <c r="D91" s="11"/>
      <c r="F91" s="16">
        <f>SUMIF($E$5:$E$69,"TRANSITARIOS ROTA",$F$5:$F$69)+SUMIF($E$5:$E$69,"GM TRANSPORTES",$F$5:$F$69)+SUMIF($E$5:$E$69,"SUPPLY CHAIN SOLUTIONS TIR",$F$5:$F$69)</f>
        <v>13887.6</v>
      </c>
      <c r="G91" s="16">
        <f>SUMIF($E$5:$E$69,"TRANSITARIOS ROTA",$G$5:$G$69)+SUMIF($E$5:$E$69,"GM TRANSPORTES",$G$5:$G$69)+SUMIF($E$5:$E$69,"SUPPLY CHAIN SOLUTIONS TIR",$G$5:$G$69)</f>
        <v>17081.748</v>
      </c>
    </row>
  </sheetData>
  <mergeCells count="8">
    <mergeCell ref="A90:D91"/>
    <mergeCell ref="A86:D86"/>
    <mergeCell ref="A89:D89"/>
    <mergeCell ref="A72:D72"/>
    <mergeCell ref="A74:D74"/>
    <mergeCell ref="A81:D81"/>
    <mergeCell ref="A82:D82"/>
    <mergeCell ref="A84:D84"/>
  </mergeCells>
  <conditionalFormatting sqref="F5:F69">
    <cfRule type="colorScale" priority="4">
      <colorScale>
        <cfvo type="num" val="5000"/>
        <cfvo type="num" val="5000"/>
        <color theme="7" tint="0.59999389629810485"/>
        <color theme="5" tint="0.59999389629810485"/>
      </colorScale>
    </cfRule>
  </conditionalFormatting>
  <conditionalFormatting sqref="G5:G6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{7D1015DC-BFC7-4B17-8389-912F51F2FBA0}</x14:id>
        </ext>
      </extLst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I5:I69">
    <cfRule type="containsText" dxfId="0" priority="1" operator="containsText" text="30 dias">
      <formula>NOT(ISERROR(SEARCH("30 dias",I5)))</formula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1015DC-BFC7-4B17-8389-912F51F2FBA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G5:G69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B842600A0E964EBE88117445EBED7E" ma:contentTypeVersion="3" ma:contentTypeDescription="Criar um novo documento." ma:contentTypeScope="" ma:versionID="a725027eae200caf851bbd21b1eec2ae">
  <xsd:schema xmlns:xsd="http://www.w3.org/2001/XMLSchema" xmlns:xs="http://www.w3.org/2001/XMLSchema" xmlns:p="http://schemas.microsoft.com/office/2006/metadata/properties" xmlns:ns2="6c96d2b1-6fa3-4456-a494-3ce8b45afc84" targetNamespace="http://schemas.microsoft.com/office/2006/metadata/properties" ma:root="true" ma:fieldsID="6ff97e10b6262e29b4dd2ec9a7639a85" ns2:_="">
    <xsd:import namespace="6c96d2b1-6fa3-4456-a494-3ce8b45afc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6d2b1-6fa3-4456-a494-3ce8b45af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36DE4C-2182-4887-A625-4A4C1E24342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3EF586D-5742-4F5C-813C-44A43DF2F0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178D46-506A-4CC0-A3D7-63AC94166A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96d2b1-6fa3-4456-a494-3ce8b45afc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Ex.2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 Almeida</dc:creator>
  <cp:keywords/>
  <dc:description/>
  <cp:lastModifiedBy>Paulo Carvalho</cp:lastModifiedBy>
  <cp:revision/>
  <dcterms:created xsi:type="dcterms:W3CDTF">2022-09-17T10:51:09Z</dcterms:created>
  <dcterms:modified xsi:type="dcterms:W3CDTF">2025-09-25T20:41:32Z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0x0101006CB842600A0E964EBE88117445EBED7E</vt:lpwstr>
  </property>
</Properties>
</file>