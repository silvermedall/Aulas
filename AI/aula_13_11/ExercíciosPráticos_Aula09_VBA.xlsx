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\Nuno\Desktop\ESAN\AINF 2024-2025\Aula 11 - Gravação Macro\"/>
    </mc:Choice>
  </mc:AlternateContent>
  <xr:revisionPtr revIDLastSave="0" documentId="13_ncr:1_{36311076-5864-4187-93B7-E6AE7C8510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rcício 1" sheetId="1" r:id="rId1"/>
    <sheet name="Exercício 2" sheetId="2" r:id="rId2"/>
    <sheet name="Exercício 3" sheetId="3" r:id="rId3"/>
    <sheet name="Exercício 4" sheetId="4" r:id="rId4"/>
    <sheet name="Exercício5" sheetId="5" r:id="rId5"/>
    <sheet name="Exercício5_tabeladados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3" i="4"/>
  <c r="D20" i="4"/>
  <c r="H11" i="2"/>
  <c r="D11" i="2"/>
  <c r="F13" i="2"/>
</calcChain>
</file>

<file path=xl/sharedStrings.xml><?xml version="1.0" encoding="utf-8"?>
<sst xmlns="http://schemas.openxmlformats.org/spreadsheetml/2006/main" count="107" uniqueCount="75">
  <si>
    <t>Serviços Realizados</t>
  </si>
  <si>
    <t>Serviço</t>
  </si>
  <si>
    <t>Data</t>
  </si>
  <si>
    <t>Equipa</t>
  </si>
  <si>
    <t>Número Funcionários</t>
  </si>
  <si>
    <t>Preço Hora</t>
  </si>
  <si>
    <t>Horas Serviço</t>
  </si>
  <si>
    <t>Total Serviço</t>
  </si>
  <si>
    <t>Serralharia</t>
  </si>
  <si>
    <t>Pichelaria</t>
  </si>
  <si>
    <t>A</t>
  </si>
  <si>
    <t>C</t>
  </si>
  <si>
    <t>Carpintaria</t>
  </si>
  <si>
    <t>Pintura</t>
  </si>
  <si>
    <t>B</t>
  </si>
  <si>
    <t>Número Cliente</t>
  </si>
  <si>
    <t>Nome</t>
  </si>
  <si>
    <t>Balcão</t>
  </si>
  <si>
    <t>Crédito
em Mora</t>
  </si>
  <si>
    <t>Código Garantia</t>
  </si>
  <si>
    <t>Data Início Mora</t>
  </si>
  <si>
    <t>Número Dias Mora</t>
  </si>
  <si>
    <t>Provisão a Constituir</t>
  </si>
  <si>
    <t>ANTÓNIO SILVA</t>
  </si>
  <si>
    <t>Porto</t>
  </si>
  <si>
    <t>BERNARDO SOUSA</t>
  </si>
  <si>
    <t>Braga</t>
  </si>
  <si>
    <t>CASA  DO ZÉ, LDA</t>
  </si>
  <si>
    <t>Setubal</t>
  </si>
  <si>
    <t>DAVID COIMBRA,LDA</t>
  </si>
  <si>
    <t>JOSÉ ESTEVES</t>
  </si>
  <si>
    <t>LOJA DAS PEÚGAS</t>
  </si>
  <si>
    <t>Lisboa</t>
  </si>
  <si>
    <t>MANUEL CARDOSO</t>
  </si>
  <si>
    <t>ZÉ CALOTEIRO</t>
  </si>
  <si>
    <t>Total</t>
  </si>
  <si>
    <t>Data Actual</t>
  </si>
  <si>
    <t>Lista de Sócios</t>
  </si>
  <si>
    <t>Data Atual</t>
  </si>
  <si>
    <t>Data Nascimento</t>
  </si>
  <si>
    <t>Idade (anos)</t>
  </si>
  <si>
    <t>Mês Aniversário</t>
  </si>
  <si>
    <t>Data Inscrição</t>
  </si>
  <si>
    <t>Antiguidade (dias)</t>
  </si>
  <si>
    <t>André Areias</t>
  </si>
  <si>
    <t>Miguel Santos</t>
  </si>
  <si>
    <t>Angelo Faria</t>
  </si>
  <si>
    <t>João Peixoto</t>
  </si>
  <si>
    <t>José Pacheco</t>
  </si>
  <si>
    <t>Victor Mota</t>
  </si>
  <si>
    <t>Zita Talaia</t>
  </si>
  <si>
    <t>Teresa Camarinha</t>
  </si>
  <si>
    <t>Ana Faria</t>
  </si>
  <si>
    <t>Miguel Gomes</t>
  </si>
  <si>
    <t>Dados da Encomenda</t>
  </si>
  <si>
    <t>Produto</t>
  </si>
  <si>
    <t>Quantidade</t>
  </si>
  <si>
    <t>Preço Unitário</t>
  </si>
  <si>
    <t>Sony CDR 700 MB Spindle, InkJet Printable X40 10 IT Pack</t>
  </si>
  <si>
    <t>Sony DVD R 16x Spindle X20 5 IT Pack</t>
  </si>
  <si>
    <t>Sony DVD R 16x Jewel Case X8 2 IT Pack</t>
  </si>
  <si>
    <t>Sony DVD-R 16x Spindle X40 10 IT Pack</t>
  </si>
  <si>
    <t>Sony CDR 700 MB Slim Case X8 2 IT Pack</t>
  </si>
  <si>
    <t>Sony DVD-R 16x Spindle X80 20 IT Pack</t>
  </si>
  <si>
    <t>Sony DVD R 16x Spindle X80 20 IT Pack</t>
  </si>
  <si>
    <t>Sony DVD-R 16x Jewel Case X8 2 IT Pack</t>
  </si>
  <si>
    <t>Verbatim Dvd-rw (2x) Slim (unid. )</t>
  </si>
  <si>
    <t>Imation Disc Publisher CD/DVDs D20 duplic/impresora 20un</t>
  </si>
  <si>
    <t>Konica Minolta Toner - Preto</t>
  </si>
  <si>
    <t>Konica Minolta Toner 1710591-001 preto</t>
  </si>
  <si>
    <t>HP Q6000A</t>
  </si>
  <si>
    <t>HP Q6001A</t>
  </si>
  <si>
    <t>Nº Telefone</t>
  </si>
  <si>
    <t>Profissão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</si>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</sst>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#,##0.00\ \€"/>
    <numFmt numFmtId="166" formatCode="#,##0\ &quot;€&quot;"/>
    <numFmt numFmtId="167" formatCode="dd\-mm\-yyyy;@"/>
    <numFmt numFmtId="168" formatCode="_-[$€-2]\ * #,##0.00_-;\-[$€-2]\ * #,##0.00_-;_-[$€-2]\ * &quot;-&quot;??_-;_-@_-"/>
  </numFmts>
  <fonts count="15" x14ac:knownFonts="1">
    <font>
      <sz val="11"/>
      <color theme="1"/>
      <name val="Calibri"/>
      <family val="2"/>
      <scheme val="minor"/>
    </font>
    <font>
      <b/>
      <i/>
      <sz val="10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0" borderId="0" applyFont="0" applyFill="0" applyBorder="0" applyAlignment="0" applyProtection="0"/>
    <xf numFmtId="0" fontId="6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/>
    <xf numFmtId="0" fontId="7" fillId="3" borderId="1" xfId="0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9" fontId="6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6" borderId="0" xfId="0" applyFont="1" applyFill="1"/>
    <xf numFmtId="167" fontId="0" fillId="0" borderId="0" xfId="0" applyNumberFormat="1"/>
    <xf numFmtId="0" fontId="0" fillId="0" borderId="0" xfId="0" applyAlignment="1">
      <alignment horizontal="center"/>
    </xf>
    <xf numFmtId="0" fontId="14" fillId="8" borderId="4" xfId="2" applyFont="1" applyFill="1" applyBorder="1"/>
    <xf numFmtId="0" fontId="14" fillId="8" borderId="2" xfId="2" applyFont="1" applyFill="1" applyBorder="1"/>
    <xf numFmtId="0" fontId="14" fillId="8" borderId="3" xfId="2" applyFont="1" applyFill="1" applyBorder="1"/>
    <xf numFmtId="0" fontId="6" fillId="8" borderId="0" xfId="2" applyFill="1"/>
    <xf numFmtId="0" fontId="14" fillId="8" borderId="7" xfId="2" applyFont="1" applyFill="1" applyBorder="1"/>
    <xf numFmtId="0" fontId="14" fillId="8" borderId="0" xfId="2" applyFont="1" applyFill="1"/>
    <xf numFmtId="0" fontId="14" fillId="8" borderId="8" xfId="2" applyFont="1" applyFill="1" applyBorder="1"/>
    <xf numFmtId="0" fontId="14" fillId="8" borderId="9" xfId="2" applyFont="1" applyFill="1" applyBorder="1"/>
    <xf numFmtId="0" fontId="14" fillId="8" borderId="10" xfId="2" applyFont="1" applyFill="1" applyBorder="1"/>
    <xf numFmtId="0" fontId="14" fillId="8" borderId="11" xfId="2" applyFont="1" applyFill="1" applyBorder="1"/>
    <xf numFmtId="0" fontId="14" fillId="9" borderId="0" xfId="2" applyFont="1" applyFill="1" applyAlignment="1">
      <alignment horizontal="center"/>
    </xf>
    <xf numFmtId="0" fontId="6" fillId="0" borderId="0" xfId="2"/>
    <xf numFmtId="0" fontId="7" fillId="0" borderId="12" xfId="0" applyFont="1" applyBorder="1" applyAlignment="1">
      <alignment horizontal="center" vertical="center"/>
    </xf>
    <xf numFmtId="166" fontId="7" fillId="3" borderId="13" xfId="1" applyNumberFormat="1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166" fontId="7" fillId="3" borderId="15" xfId="1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horizontal="center" vertical="center"/>
    </xf>
    <xf numFmtId="14" fontId="7" fillId="3" borderId="15" xfId="0" applyNumberFormat="1" applyFont="1" applyFill="1" applyBorder="1" applyAlignment="1">
      <alignment horizontal="center" vertical="center"/>
    </xf>
    <xf numFmtId="1" fontId="7" fillId="3" borderId="15" xfId="0" applyNumberFormat="1" applyFont="1" applyFill="1" applyBorder="1" applyAlignment="1">
      <alignment horizontal="center" vertical="center"/>
    </xf>
    <xf numFmtId="166" fontId="7" fillId="3" borderId="4" xfId="1" applyNumberFormat="1" applyFont="1" applyFill="1" applyBorder="1" applyAlignment="1">
      <alignment vertical="center"/>
    </xf>
    <xf numFmtId="168" fontId="0" fillId="0" borderId="0" xfId="0" applyNumberFormat="1"/>
    <xf numFmtId="168" fontId="13" fillId="7" borderId="5" xfId="0" applyNumberFormat="1" applyFont="1" applyFill="1" applyBorder="1" applyAlignment="1">
      <alignment horizontal="center"/>
    </xf>
    <xf numFmtId="0" fontId="14" fillId="0" borderId="0" xfId="2" applyFont="1"/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0" fillId="5" borderId="0" xfId="0" applyFont="1" applyFill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</cellXfs>
  <cellStyles count="3">
    <cellStyle name="Euro" xfId="1" xr:uid="{69D0DFA2-86C8-4D54-9540-BB4947AF6B96}"/>
    <cellStyle name="Normal" xfId="0" builtinId="0"/>
    <cellStyle name="Normal 2" xfId="2" xr:uid="{74851B18-B6AB-4142-8796-70B1084AB46C}"/>
  </cellStyles>
  <dxfs count="15">
    <dxf>
      <numFmt numFmtId="168" formatCode="_-[$€-2]\ * #,##0.00_-;\-[$€-2]\ * #,##0.00_-;_-[$€-2]\ * &quot;-&quot;??_-;_-@_-"/>
    </dxf>
    <dxf>
      <alignment horizontal="center" vertical="bottom" textRotation="0" wrapText="0" indent="0" justifyLastLine="0" shrinkToFit="0"/>
    </dxf>
    <dxf>
      <numFmt numFmtId="167" formatCode="dd\-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#,##0\ &quot;€&quot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#,##0\ &quot;€&quot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9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65D45A-BCE8-4FC5-B69B-B1B9E313FD1F}" name="Table3" displayName="Table3" ref="A1:H9" totalsRowShown="0" headerRowDxfId="14" headerRowBorderDxfId="13" tableBorderDxfId="12" totalsRowBorderDxfId="11">
  <autoFilter ref="A1:H9" xr:uid="{1065D45A-BCE8-4FC5-B69B-B1B9E313FD1F}"/>
  <tableColumns count="8">
    <tableColumn id="1" xr3:uid="{209FB42F-A83A-4265-A31B-2F6E69E8E1DC}" name="Número Cliente" dataDxfId="10"/>
    <tableColumn id="2" xr3:uid="{6817348A-138F-4E3E-A0FA-3806F5765770}" name="Nome" dataDxfId="9"/>
    <tableColumn id="3" xr3:uid="{BB5571E0-9943-442D-8BD6-9F573954F5AA}" name="Balcão" dataDxfId="8"/>
    <tableColumn id="4" xr3:uid="{14D31D0C-B8D3-43F0-92AF-6146869A1496}" name="Crédito_x000a_em Mora" dataDxfId="7" dataCellStyle="Euro"/>
    <tableColumn id="5" xr3:uid="{99301DDB-C631-44B3-AE5F-4736BBA355B6}" name="Código Garantia" dataDxfId="6"/>
    <tableColumn id="6" xr3:uid="{BF49BF3B-EAD4-4B1C-B217-20D0ED0943A6}" name="Data Início Mora" dataDxfId="5"/>
    <tableColumn id="7" xr3:uid="{0A6E630C-38C1-4BB8-9CAE-AC0A142FE841}" name="Número Dias Mora" dataDxfId="4"/>
    <tableColumn id="8" xr3:uid="{6D0B0244-FD7A-4380-B87B-4CF4ED6C2A03}" name="Provisão a Constituir" dataDxfId="3" dataCellStyle="Eur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F24E0-12BF-45FE-A76C-9BA811C14B0D}" name="Table1" displayName="Table1" ref="A3:F13" totalsRowShown="0">
  <tableColumns count="6">
    <tableColumn id="1" xr3:uid="{AC6C1532-3BB4-46FD-9AF5-462743CEEA16}" name="Nome"/>
    <tableColumn id="2" xr3:uid="{AA468BCD-F9AA-4D04-995E-E40D98EFB65E}" name="Data Nascimento"/>
    <tableColumn id="3" xr3:uid="{A4683584-38F1-4135-AC78-7C9E61A40FA5}" name="Idade (anos)"/>
    <tableColumn id="4" xr3:uid="{ED596392-BA1D-4A66-8CB2-57E2C0AB7C79}" name="Mês Aniversário"/>
    <tableColumn id="5" xr3:uid="{5C2E5C6E-0DC9-4168-9717-634FC3446996}" name="Data Inscrição" dataDxfId="2"/>
    <tableColumn id="6" xr3:uid="{FBE4D1AB-1A64-4F4F-A3D5-DC00564DD043}" name="Antiguidade (dias)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C384F-CF35-4A7D-8EB9-B3EF16867108}" name="Table13" displayName="Table13" ref="A2:D16" totalsRowShown="0" headerRowDxfId="1">
  <autoFilter ref="A2:D16" xr:uid="{665C384F-CF35-4A7D-8EB9-B3EF16867108}"/>
  <tableColumns count="4">
    <tableColumn id="1" xr3:uid="{B0551623-5F94-4C1A-8CA1-AB0EBC23B85F}" name="Produto"/>
    <tableColumn id="2" xr3:uid="{1EB007CA-01A1-48C8-957C-E50DCCED0105}" name="Quantidade"/>
    <tableColumn id="3" xr3:uid="{9383E950-A18B-4F55-A5A6-9F1110B356BE}" name="Preço Unitário"/>
    <tableColumn id="4" xr3:uid="{B7670752-3794-4D2A-826C-1E4694F6EBC5}" name="Valor Total" dataDxfId="0">
      <calculatedColumnFormula>Table13[[#This Row],[Quantidade]]*Table13[[#This Row],[Preço Unitário]]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K15"/>
  <sheetViews>
    <sheetView tabSelected="1" zoomScale="205" zoomScaleNormal="205" workbookViewId="0">
      <selection activeCell="K2" sqref="K2"/>
    </sheetView>
  </sheetViews>
  <sheetFormatPr defaultColWidth="7.7109375" defaultRowHeight="15" x14ac:dyDescent="0.25"/>
  <cols>
    <col min="1" max="1" width="9.140625" bestFit="1" customWidth="1"/>
    <col min="2" max="2" width="10.85546875" customWidth="1"/>
    <col min="3" max="3" width="6.28515625" customWidth="1"/>
    <col min="4" max="4" width="13.7109375" customWidth="1"/>
    <col min="5" max="6" width="9.28515625" customWidth="1"/>
    <col min="7" max="7" width="10" customWidth="1"/>
    <col min="8" max="8" width="3.140625" customWidth="1"/>
    <col min="11" max="11" width="11.7109375" customWidth="1"/>
  </cols>
  <sheetData>
    <row r="1" spans="1:11" x14ac:dyDescent="0.25">
      <c r="A1" s="58" t="s">
        <v>0</v>
      </c>
      <c r="B1" s="58"/>
      <c r="C1" s="58"/>
      <c r="D1" s="58"/>
      <c r="E1" s="58"/>
      <c r="F1" s="58"/>
      <c r="G1" s="58"/>
      <c r="K1" s="1" t="s">
        <v>1</v>
      </c>
    </row>
    <row r="2" spans="1:11" ht="22.5" x14ac:dyDescent="0.25">
      <c r="A2" s="2" t="s">
        <v>2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K2" s="3" t="s">
        <v>8</v>
      </c>
    </row>
    <row r="3" spans="1:11" x14ac:dyDescent="0.25">
      <c r="A3" s="4">
        <v>40300</v>
      </c>
      <c r="B3" s="5" t="s">
        <v>9</v>
      </c>
      <c r="C3" s="6" t="s">
        <v>10</v>
      </c>
      <c r="D3" s="7">
        <v>7</v>
      </c>
      <c r="E3" s="8">
        <v>6.5</v>
      </c>
      <c r="F3" s="7">
        <v>16</v>
      </c>
      <c r="G3" s="9">
        <v>728</v>
      </c>
    </row>
    <row r="4" spans="1:11" x14ac:dyDescent="0.25">
      <c r="A4" s="4">
        <v>40300</v>
      </c>
      <c r="B4" s="5" t="s">
        <v>9</v>
      </c>
      <c r="C4" s="6" t="s">
        <v>11</v>
      </c>
      <c r="D4" s="7">
        <v>5</v>
      </c>
      <c r="E4" s="8">
        <v>6.5</v>
      </c>
      <c r="F4" s="7">
        <v>24</v>
      </c>
      <c r="G4" s="9">
        <v>780</v>
      </c>
    </row>
    <row r="5" spans="1:11" x14ac:dyDescent="0.25">
      <c r="A5" s="4">
        <v>40303</v>
      </c>
      <c r="B5" s="5" t="s">
        <v>12</v>
      </c>
      <c r="C5" s="6" t="s">
        <v>10</v>
      </c>
      <c r="D5" s="7">
        <v>2</v>
      </c>
      <c r="E5" s="8">
        <v>6.5</v>
      </c>
      <c r="F5" s="7">
        <v>16</v>
      </c>
      <c r="G5" s="9">
        <v>208</v>
      </c>
    </row>
    <row r="6" spans="1:11" x14ac:dyDescent="0.25">
      <c r="A6" s="4">
        <v>40306</v>
      </c>
      <c r="B6" s="5" t="s">
        <v>12</v>
      </c>
      <c r="C6" s="6" t="s">
        <v>10</v>
      </c>
      <c r="D6" s="7">
        <v>3</v>
      </c>
      <c r="E6" s="8">
        <v>6.5</v>
      </c>
      <c r="F6" s="7">
        <v>8</v>
      </c>
      <c r="G6" s="9">
        <v>156</v>
      </c>
    </row>
    <row r="7" spans="1:11" x14ac:dyDescent="0.25">
      <c r="A7" s="4">
        <v>40311</v>
      </c>
      <c r="B7" s="5" t="s">
        <v>8</v>
      </c>
      <c r="C7" s="6" t="s">
        <v>11</v>
      </c>
      <c r="D7" s="7">
        <v>6</v>
      </c>
      <c r="E7" s="8">
        <v>5.5</v>
      </c>
      <c r="F7" s="7">
        <v>16</v>
      </c>
      <c r="G7" s="9">
        <v>528</v>
      </c>
    </row>
    <row r="8" spans="1:11" x14ac:dyDescent="0.25">
      <c r="A8" s="4">
        <v>40312</v>
      </c>
      <c r="B8" s="5" t="s">
        <v>9</v>
      </c>
      <c r="C8" s="6" t="s">
        <v>11</v>
      </c>
      <c r="D8" s="7">
        <v>8</v>
      </c>
      <c r="E8" s="8">
        <v>6.5</v>
      </c>
      <c r="F8" s="7">
        <v>8</v>
      </c>
      <c r="G8" s="9">
        <v>416</v>
      </c>
    </row>
    <row r="9" spans="1:11" x14ac:dyDescent="0.25">
      <c r="A9" s="4">
        <v>40313</v>
      </c>
      <c r="B9" s="5" t="s">
        <v>13</v>
      </c>
      <c r="C9" s="6" t="s">
        <v>10</v>
      </c>
      <c r="D9" s="7">
        <v>3</v>
      </c>
      <c r="E9" s="8">
        <v>5</v>
      </c>
      <c r="F9" s="7">
        <v>8</v>
      </c>
      <c r="G9" s="9">
        <v>120</v>
      </c>
    </row>
    <row r="10" spans="1:11" x14ac:dyDescent="0.25">
      <c r="A10" s="4">
        <v>40313</v>
      </c>
      <c r="B10" s="5" t="s">
        <v>8</v>
      </c>
      <c r="C10" s="6" t="s">
        <v>14</v>
      </c>
      <c r="D10" s="7">
        <v>2</v>
      </c>
      <c r="E10" s="8">
        <v>5.5</v>
      </c>
      <c r="F10" s="7">
        <v>24</v>
      </c>
      <c r="G10" s="9">
        <v>264</v>
      </c>
    </row>
    <row r="11" spans="1:11" x14ac:dyDescent="0.25">
      <c r="A11" s="4">
        <v>40319</v>
      </c>
      <c r="B11" s="5" t="s">
        <v>12</v>
      </c>
      <c r="C11" s="6" t="s">
        <v>10</v>
      </c>
      <c r="D11" s="7">
        <v>4</v>
      </c>
      <c r="E11" s="8">
        <v>6.5</v>
      </c>
      <c r="F11" s="7">
        <v>8</v>
      </c>
      <c r="G11" s="9">
        <v>208</v>
      </c>
    </row>
    <row r="12" spans="1:11" x14ac:dyDescent="0.25">
      <c r="A12" s="4">
        <v>40321</v>
      </c>
      <c r="B12" s="5" t="s">
        <v>9</v>
      </c>
      <c r="C12" s="6" t="s">
        <v>10</v>
      </c>
      <c r="D12" s="7">
        <v>5</v>
      </c>
      <c r="E12" s="8">
        <v>6.5</v>
      </c>
      <c r="F12" s="7">
        <v>24</v>
      </c>
      <c r="G12" s="9">
        <v>780</v>
      </c>
    </row>
    <row r="13" spans="1:11" x14ac:dyDescent="0.25">
      <c r="A13" s="4">
        <v>40326</v>
      </c>
      <c r="B13" s="5" t="s">
        <v>9</v>
      </c>
      <c r="C13" s="6" t="s">
        <v>10</v>
      </c>
      <c r="D13" s="7">
        <v>6</v>
      </c>
      <c r="E13" s="8">
        <v>6.5</v>
      </c>
      <c r="F13" s="7">
        <v>16</v>
      </c>
      <c r="G13" s="9">
        <v>624</v>
      </c>
    </row>
    <row r="14" spans="1:11" x14ac:dyDescent="0.25">
      <c r="A14" s="4">
        <v>40326</v>
      </c>
      <c r="B14" s="5" t="s">
        <v>8</v>
      </c>
      <c r="C14" s="6" t="s">
        <v>10</v>
      </c>
      <c r="D14" s="7">
        <v>5</v>
      </c>
      <c r="E14" s="8">
        <v>5.5</v>
      </c>
      <c r="F14" s="7">
        <v>24</v>
      </c>
      <c r="G14" s="9">
        <v>660</v>
      </c>
    </row>
    <row r="15" spans="1:11" x14ac:dyDescent="0.25">
      <c r="A15" s="4">
        <v>40329</v>
      </c>
      <c r="B15" s="5" t="s">
        <v>12</v>
      </c>
      <c r="C15" s="6" t="s">
        <v>10</v>
      </c>
      <c r="D15" s="7">
        <v>2</v>
      </c>
      <c r="E15" s="8">
        <v>6.5</v>
      </c>
      <c r="F15" s="7">
        <v>16</v>
      </c>
      <c r="G15" s="9">
        <v>208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7FF4-B959-41F7-BFE5-107E4DA19EC6}">
  <sheetPr codeName="Sheet2">
    <tabColor theme="8" tint="-0.249977111117893"/>
  </sheetPr>
  <dimension ref="A1:Q13"/>
  <sheetViews>
    <sheetView zoomScale="235" zoomScaleNormal="235" workbookViewId="0">
      <selection activeCell="D11" sqref="D11"/>
    </sheetView>
  </sheetViews>
  <sheetFormatPr defaultColWidth="7.7109375" defaultRowHeight="11.25" x14ac:dyDescent="0.2"/>
  <cols>
    <col min="1" max="1" width="11.28515625" style="10" customWidth="1"/>
    <col min="2" max="2" width="16.42578125" style="10" bestFit="1" customWidth="1"/>
    <col min="3" max="3" width="8.85546875" style="10" customWidth="1"/>
    <col min="4" max="4" width="11" style="10" customWidth="1"/>
    <col min="5" max="5" width="11.42578125" style="10" customWidth="1"/>
    <col min="6" max="6" width="11.85546875" style="10" customWidth="1"/>
    <col min="7" max="7" width="13.28515625" style="10" customWidth="1"/>
    <col min="8" max="8" width="14.28515625" style="10" customWidth="1"/>
    <col min="9" max="13" width="7.7109375" style="10"/>
    <col min="14" max="14" width="8.7109375" style="10" bestFit="1" customWidth="1"/>
    <col min="15" max="16384" width="7.7109375" style="10"/>
  </cols>
  <sheetData>
    <row r="1" spans="1:17" ht="22.5" x14ac:dyDescent="0.25">
      <c r="A1" s="45" t="s">
        <v>15</v>
      </c>
      <c r="B1" s="46" t="s">
        <v>16</v>
      </c>
      <c r="C1" s="46" t="s">
        <v>17</v>
      </c>
      <c r="D1" s="46" t="s">
        <v>18</v>
      </c>
      <c r="E1" s="46" t="s">
        <v>19</v>
      </c>
      <c r="F1" s="46" t="s">
        <v>20</v>
      </c>
      <c r="G1" s="46" t="s">
        <v>21</v>
      </c>
      <c r="H1" s="47" t="s">
        <v>22</v>
      </c>
      <c r="L1"/>
      <c r="M1"/>
      <c r="N1" s="11"/>
    </row>
    <row r="2" spans="1:17" x14ac:dyDescent="0.2">
      <c r="A2" s="43">
        <v>101</v>
      </c>
      <c r="B2" s="12" t="s">
        <v>23</v>
      </c>
      <c r="C2" s="12" t="s">
        <v>24</v>
      </c>
      <c r="D2" s="13">
        <v>292696</v>
      </c>
      <c r="E2" s="14">
        <v>1</v>
      </c>
      <c r="F2" s="15">
        <v>39660</v>
      </c>
      <c r="G2" s="16">
        <v>837</v>
      </c>
      <c r="H2" s="44">
        <v>292696</v>
      </c>
    </row>
    <row r="3" spans="1:17" x14ac:dyDescent="0.2">
      <c r="A3" s="43">
        <v>106</v>
      </c>
      <c r="B3" s="12" t="s">
        <v>25</v>
      </c>
      <c r="C3" s="12" t="s">
        <v>26</v>
      </c>
      <c r="D3" s="13">
        <v>341606</v>
      </c>
      <c r="E3" s="14">
        <v>1</v>
      </c>
      <c r="F3" s="15">
        <v>39499</v>
      </c>
      <c r="G3" s="16">
        <v>998</v>
      </c>
      <c r="H3" s="44">
        <v>341606</v>
      </c>
    </row>
    <row r="4" spans="1:17" x14ac:dyDescent="0.2">
      <c r="A4" s="43">
        <v>108</v>
      </c>
      <c r="B4" s="12" t="s">
        <v>27</v>
      </c>
      <c r="C4" s="12" t="s">
        <v>28</v>
      </c>
      <c r="D4" s="13">
        <v>255508</v>
      </c>
      <c r="E4" s="14">
        <v>2</v>
      </c>
      <c r="F4" s="15">
        <v>39796</v>
      </c>
      <c r="G4" s="16">
        <v>701</v>
      </c>
      <c r="H4" s="44">
        <v>127754</v>
      </c>
      <c r="N4" s="17"/>
      <c r="O4" s="17"/>
      <c r="P4" s="17"/>
      <c r="Q4" s="17"/>
    </row>
    <row r="5" spans="1:17" x14ac:dyDescent="0.2">
      <c r="A5" s="43">
        <v>107</v>
      </c>
      <c r="B5" s="12" t="s">
        <v>29</v>
      </c>
      <c r="C5" s="12" t="s">
        <v>24</v>
      </c>
      <c r="D5" s="13">
        <v>195403</v>
      </c>
      <c r="E5" s="14">
        <v>1</v>
      </c>
      <c r="F5" s="15">
        <v>39522</v>
      </c>
      <c r="G5" s="16">
        <v>975</v>
      </c>
      <c r="H5" s="44">
        <v>195403</v>
      </c>
      <c r="N5" s="17"/>
      <c r="O5" s="17"/>
      <c r="P5" s="17"/>
      <c r="Q5" s="17"/>
    </row>
    <row r="6" spans="1:17" x14ac:dyDescent="0.2">
      <c r="A6" s="43">
        <v>103</v>
      </c>
      <c r="B6" s="12" t="s">
        <v>30</v>
      </c>
      <c r="C6" s="12" t="s">
        <v>26</v>
      </c>
      <c r="D6" s="13">
        <v>150974</v>
      </c>
      <c r="E6" s="14">
        <v>1</v>
      </c>
      <c r="F6" s="15">
        <v>39507</v>
      </c>
      <c r="G6" s="16">
        <v>990</v>
      </c>
      <c r="H6" s="44">
        <v>150974</v>
      </c>
    </row>
    <row r="7" spans="1:17" x14ac:dyDescent="0.2">
      <c r="A7" s="43">
        <v>102</v>
      </c>
      <c r="B7" s="12" t="s">
        <v>31</v>
      </c>
      <c r="C7" s="12" t="s">
        <v>32</v>
      </c>
      <c r="D7" s="13">
        <v>472494</v>
      </c>
      <c r="E7" s="14">
        <v>2</v>
      </c>
      <c r="F7" s="15">
        <v>40319</v>
      </c>
      <c r="G7" s="16">
        <v>178</v>
      </c>
      <c r="H7" s="44">
        <v>0</v>
      </c>
    </row>
    <row r="8" spans="1:17" x14ac:dyDescent="0.2">
      <c r="A8" s="43">
        <v>105</v>
      </c>
      <c r="B8" s="12" t="s">
        <v>33</v>
      </c>
      <c r="C8" s="12" t="s">
        <v>24</v>
      </c>
      <c r="D8" s="13">
        <v>32811</v>
      </c>
      <c r="E8" s="14">
        <v>2</v>
      </c>
      <c r="F8" s="15">
        <v>40041</v>
      </c>
      <c r="G8" s="16">
        <v>456</v>
      </c>
      <c r="H8" s="44">
        <v>8202.75</v>
      </c>
    </row>
    <row r="9" spans="1:17" x14ac:dyDescent="0.2">
      <c r="A9" s="48">
        <v>104</v>
      </c>
      <c r="B9" s="49" t="s">
        <v>34</v>
      </c>
      <c r="C9" s="49" t="s">
        <v>32</v>
      </c>
      <c r="D9" s="50">
        <v>87639</v>
      </c>
      <c r="E9" s="51">
        <v>1</v>
      </c>
      <c r="F9" s="52">
        <v>40030</v>
      </c>
      <c r="G9" s="53">
        <v>467</v>
      </c>
      <c r="H9" s="54">
        <v>43819.5</v>
      </c>
    </row>
    <row r="10" spans="1:17" x14ac:dyDescent="0.2">
      <c r="A10" s="18"/>
      <c r="B10" s="19"/>
      <c r="C10" s="20"/>
      <c r="D10" s="13"/>
      <c r="E10" s="21"/>
      <c r="F10" s="22"/>
      <c r="G10" s="23"/>
      <c r="H10" s="13"/>
    </row>
    <row r="11" spans="1:17" x14ac:dyDescent="0.2">
      <c r="A11" s="59" t="s">
        <v>35</v>
      </c>
      <c r="B11" s="60"/>
      <c r="C11" s="61"/>
      <c r="D11" s="24">
        <f>SUBTOTAL(9,Table3[Crédito
em Mora])</f>
        <v>1829131</v>
      </c>
      <c r="E11" s="62" t="s">
        <v>35</v>
      </c>
      <c r="F11" s="60"/>
      <c r="G11" s="61"/>
      <c r="H11" s="24">
        <f>SUBTOTAL(9,Table3[Provisão a Constituir])</f>
        <v>1160455.25</v>
      </c>
    </row>
    <row r="13" spans="1:17" ht="15" x14ac:dyDescent="0.25">
      <c r="E13" s="25" t="s">
        <v>36</v>
      </c>
      <c r="F13" s="11">
        <f ca="1">TODAY()</f>
        <v>45627</v>
      </c>
    </row>
  </sheetData>
  <mergeCells count="2">
    <mergeCell ref="A11:C11"/>
    <mergeCell ref="E11:G1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A95A-EC18-47B4-B56E-713286881E63}">
  <sheetPr codeName="Sheet3">
    <tabColor theme="7" tint="-0.249977111117893"/>
  </sheetPr>
  <dimension ref="A1:F13"/>
  <sheetViews>
    <sheetView zoomScale="205" zoomScaleNormal="205" workbookViewId="0">
      <selection activeCell="E6" sqref="E6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5.5703125" bestFit="1" customWidth="1"/>
    <col min="5" max="5" width="13.28515625" bestFit="1" customWidth="1"/>
    <col min="6" max="6" width="17.5703125" bestFit="1" customWidth="1"/>
  </cols>
  <sheetData>
    <row r="1" spans="1:6" x14ac:dyDescent="0.25">
      <c r="A1" s="63" t="s">
        <v>37</v>
      </c>
      <c r="B1" s="63"/>
      <c r="C1" s="63"/>
      <c r="D1" s="63"/>
      <c r="E1" s="63"/>
      <c r="F1" s="63"/>
    </row>
    <row r="2" spans="1:6" x14ac:dyDescent="0.25">
      <c r="A2" s="26"/>
      <c r="B2" s="26"/>
      <c r="C2" s="26"/>
      <c r="D2" s="26"/>
      <c r="E2" s="27" t="s">
        <v>38</v>
      </c>
      <c r="F2" s="28"/>
    </row>
    <row r="3" spans="1:6" x14ac:dyDescent="0.25">
      <c r="A3" t="s">
        <v>16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</row>
    <row r="4" spans="1:6" x14ac:dyDescent="0.25">
      <c r="A4" t="s">
        <v>44</v>
      </c>
      <c r="E4" s="29">
        <v>38972</v>
      </c>
    </row>
    <row r="5" spans="1:6" x14ac:dyDescent="0.25">
      <c r="A5" t="s">
        <v>45</v>
      </c>
      <c r="E5" s="29">
        <v>38406</v>
      </c>
    </row>
    <row r="6" spans="1:6" x14ac:dyDescent="0.25">
      <c r="A6" t="s">
        <v>46</v>
      </c>
      <c r="E6" s="29">
        <v>38957</v>
      </c>
    </row>
    <row r="7" spans="1:6" x14ac:dyDescent="0.25">
      <c r="A7" t="s">
        <v>47</v>
      </c>
      <c r="E7" s="29">
        <v>39854</v>
      </c>
    </row>
    <row r="8" spans="1:6" x14ac:dyDescent="0.25">
      <c r="A8" t="s">
        <v>48</v>
      </c>
      <c r="E8" s="29">
        <v>39516</v>
      </c>
    </row>
    <row r="9" spans="1:6" x14ac:dyDescent="0.25">
      <c r="A9" t="s">
        <v>49</v>
      </c>
      <c r="E9" s="29">
        <v>38367</v>
      </c>
    </row>
    <row r="10" spans="1:6" x14ac:dyDescent="0.25">
      <c r="A10" t="s">
        <v>50</v>
      </c>
      <c r="E10" s="29">
        <v>39142</v>
      </c>
    </row>
    <row r="11" spans="1:6" x14ac:dyDescent="0.25">
      <c r="A11" t="s">
        <v>51</v>
      </c>
      <c r="E11" s="29">
        <v>38946</v>
      </c>
    </row>
    <row r="12" spans="1:6" x14ac:dyDescent="0.25">
      <c r="A12" t="s">
        <v>52</v>
      </c>
      <c r="E12" s="29">
        <v>38539</v>
      </c>
    </row>
    <row r="13" spans="1:6" x14ac:dyDescent="0.25">
      <c r="A13" t="s">
        <v>53</v>
      </c>
      <c r="E13" s="29">
        <v>38531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F4C0-5F6C-4966-8079-57A289902EA9}">
  <sheetPr codeName="Sheet4">
    <tabColor theme="6" tint="-0.249977111117893"/>
  </sheetPr>
  <dimension ref="A1:D20"/>
  <sheetViews>
    <sheetView zoomScale="175" zoomScaleNormal="175" workbookViewId="0">
      <selection activeCell="E10" sqref="E10"/>
    </sheetView>
  </sheetViews>
  <sheetFormatPr defaultRowHeight="15" x14ac:dyDescent="0.25"/>
  <cols>
    <col min="1" max="1" width="54.85546875" bestFit="1" customWidth="1"/>
    <col min="2" max="2" width="11.42578125" bestFit="1" customWidth="1"/>
    <col min="3" max="3" width="13.85546875" bestFit="1" customWidth="1"/>
    <col min="4" max="4" width="24.28515625" bestFit="1" customWidth="1"/>
  </cols>
  <sheetData>
    <row r="1" spans="1:4" x14ac:dyDescent="0.25">
      <c r="A1" s="64" t="s">
        <v>54</v>
      </c>
      <c r="B1" s="65"/>
      <c r="C1" s="65"/>
      <c r="D1" s="65"/>
    </row>
    <row r="2" spans="1:4" x14ac:dyDescent="0.25">
      <c r="A2" s="30" t="s">
        <v>55</v>
      </c>
      <c r="B2" s="30" t="s">
        <v>56</v>
      </c>
      <c r="C2" s="30" t="s">
        <v>57</v>
      </c>
      <c r="D2" s="30" t="s">
        <v>74</v>
      </c>
    </row>
    <row r="3" spans="1:4" x14ac:dyDescent="0.25">
      <c r="A3" t="s">
        <v>58</v>
      </c>
      <c r="B3">
        <v>10</v>
      </c>
      <c r="C3">
        <v>29.35</v>
      </c>
      <c r="D3" s="55">
        <f>Table13[[#This Row],[Quantidade]]*Table13[[#This Row],[Preço Unitário]]</f>
        <v>293.5</v>
      </c>
    </row>
    <row r="4" spans="1:4" x14ac:dyDescent="0.25">
      <c r="A4" t="s">
        <v>59</v>
      </c>
      <c r="B4">
        <v>25</v>
      </c>
      <c r="C4">
        <v>25.17</v>
      </c>
      <c r="D4" s="55">
        <f>Table13[[#This Row],[Quantidade]]*Table13[[#This Row],[Preço Unitário]]</f>
        <v>629.25</v>
      </c>
    </row>
    <row r="5" spans="1:4" x14ac:dyDescent="0.25">
      <c r="A5" t="s">
        <v>60</v>
      </c>
      <c r="B5">
        <v>9</v>
      </c>
      <c r="C5">
        <v>34.85</v>
      </c>
      <c r="D5" s="55">
        <f>Table13[[#This Row],[Quantidade]]*Table13[[#This Row],[Preço Unitário]]</f>
        <v>313.65000000000003</v>
      </c>
    </row>
    <row r="6" spans="1:4" x14ac:dyDescent="0.25">
      <c r="A6" t="s">
        <v>61</v>
      </c>
      <c r="B6">
        <v>5</v>
      </c>
      <c r="C6">
        <v>39.380000000000003</v>
      </c>
      <c r="D6" s="55">
        <f>Table13[[#This Row],[Quantidade]]*Table13[[#This Row],[Preço Unitário]]</f>
        <v>196.9</v>
      </c>
    </row>
    <row r="7" spans="1:4" x14ac:dyDescent="0.25">
      <c r="A7" t="s">
        <v>62</v>
      </c>
      <c r="B7">
        <v>25</v>
      </c>
      <c r="C7">
        <v>21.89</v>
      </c>
      <c r="D7" s="55">
        <f>Table13[[#This Row],[Quantidade]]*Table13[[#This Row],[Preço Unitário]]</f>
        <v>547.25</v>
      </c>
    </row>
    <row r="8" spans="1:4" x14ac:dyDescent="0.25">
      <c r="A8" t="s">
        <v>63</v>
      </c>
      <c r="B8">
        <v>10</v>
      </c>
      <c r="C8">
        <v>46.43</v>
      </c>
      <c r="D8" s="55">
        <f>Table13[[#This Row],[Quantidade]]*Table13[[#This Row],[Preço Unitário]]</f>
        <v>464.3</v>
      </c>
    </row>
    <row r="9" spans="1:4" x14ac:dyDescent="0.25">
      <c r="A9" t="s">
        <v>64</v>
      </c>
      <c r="B9">
        <v>20</v>
      </c>
      <c r="C9">
        <v>15.15</v>
      </c>
      <c r="D9" s="55">
        <f>Table13[[#This Row],[Quantidade]]*Table13[[#This Row],[Preço Unitário]]</f>
        <v>303</v>
      </c>
    </row>
    <row r="10" spans="1:4" x14ac:dyDescent="0.25">
      <c r="A10" t="s">
        <v>65</v>
      </c>
      <c r="B10">
        <v>10</v>
      </c>
      <c r="C10">
        <v>34.85</v>
      </c>
      <c r="D10" s="55">
        <f>Table13[[#This Row],[Quantidade]]*Table13[[#This Row],[Preço Unitário]]</f>
        <v>348.5</v>
      </c>
    </row>
    <row r="11" spans="1:4" x14ac:dyDescent="0.25">
      <c r="A11" t="s">
        <v>66</v>
      </c>
      <c r="B11">
        <v>100</v>
      </c>
      <c r="C11">
        <v>1.18</v>
      </c>
      <c r="D11" s="55">
        <f>Table13[[#This Row],[Quantidade]]*Table13[[#This Row],[Preço Unitário]]</f>
        <v>118</v>
      </c>
    </row>
    <row r="12" spans="1:4" x14ac:dyDescent="0.25">
      <c r="A12" t="s">
        <v>67</v>
      </c>
      <c r="B12">
        <v>1</v>
      </c>
      <c r="C12">
        <v>1176.5899999999999</v>
      </c>
      <c r="D12" s="55">
        <f>Table13[[#This Row],[Quantidade]]*Table13[[#This Row],[Preço Unitário]]</f>
        <v>1176.5899999999999</v>
      </c>
    </row>
    <row r="13" spans="1:4" x14ac:dyDescent="0.25">
      <c r="A13" t="s">
        <v>68</v>
      </c>
      <c r="B13">
        <v>26</v>
      </c>
      <c r="C13">
        <v>111.07</v>
      </c>
      <c r="D13" s="55">
        <f>Table13[[#This Row],[Quantidade]]*Table13[[#This Row],[Preço Unitário]]</f>
        <v>2887.8199999999997</v>
      </c>
    </row>
    <row r="14" spans="1:4" x14ac:dyDescent="0.25">
      <c r="A14" t="s">
        <v>69</v>
      </c>
      <c r="B14">
        <v>1</v>
      </c>
      <c r="C14">
        <v>472.07</v>
      </c>
      <c r="D14" s="55">
        <f>Table13[[#This Row],[Quantidade]]*Table13[[#This Row],[Preço Unitário]]</f>
        <v>472.07</v>
      </c>
    </row>
    <row r="15" spans="1:4" x14ac:dyDescent="0.25">
      <c r="A15" t="s">
        <v>70</v>
      </c>
      <c r="B15">
        <v>5</v>
      </c>
      <c r="C15">
        <v>63.62</v>
      </c>
      <c r="D15" s="55">
        <f>Table13[[#This Row],[Quantidade]]*Table13[[#This Row],[Preço Unitário]]</f>
        <v>318.09999999999997</v>
      </c>
    </row>
    <row r="16" spans="1:4" x14ac:dyDescent="0.25">
      <c r="A16" t="s">
        <v>71</v>
      </c>
      <c r="B16">
        <v>5</v>
      </c>
      <c r="C16">
        <v>69.400000000000006</v>
      </c>
      <c r="D16" s="55">
        <f>Table13[[#This Row],[Quantidade]]*Table13[[#This Row],[Preço Unitário]]</f>
        <v>347</v>
      </c>
    </row>
    <row r="17" spans="1:4" x14ac:dyDescent="0.25">
      <c r="A17" s="10"/>
      <c r="B17" s="10"/>
      <c r="C17" s="10"/>
    </row>
    <row r="20" spans="1:4" x14ac:dyDescent="0.25">
      <c r="C20" s="25" t="s">
        <v>74</v>
      </c>
      <c r="D20" s="56">
        <f>SUBTOTAL(9,Table13[Valor Total])</f>
        <v>8415.93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D0E7-D98B-4142-8A30-CE9123331222}">
  <sheetPr codeName="Sheet5">
    <tabColor theme="5" tint="-0.249977111117893"/>
  </sheetPr>
  <dimension ref="B2:J12"/>
  <sheetViews>
    <sheetView showGridLines="0" zoomScale="205" zoomScaleNormal="205" workbookViewId="0">
      <selection activeCell="D3" sqref="D3"/>
    </sheetView>
  </sheetViews>
  <sheetFormatPr defaultColWidth="9.140625" defaultRowHeight="11.25" x14ac:dyDescent="0.2"/>
  <cols>
    <col min="1" max="1" width="9.140625" style="34"/>
    <col min="2" max="2" width="4.42578125" style="34" customWidth="1"/>
    <col min="3" max="3" width="12.5703125" style="34" customWidth="1"/>
    <col min="4" max="9" width="9.140625" style="34"/>
    <col min="10" max="10" width="4.42578125" style="34" customWidth="1"/>
    <col min="11" max="16384" width="9.140625" style="34"/>
  </cols>
  <sheetData>
    <row r="2" spans="2:10" x14ac:dyDescent="0.2">
      <c r="B2" s="31"/>
      <c r="C2" s="32"/>
      <c r="D2" s="32"/>
      <c r="E2" s="32"/>
      <c r="F2" s="32"/>
      <c r="G2" s="32"/>
      <c r="H2" s="32"/>
      <c r="I2" s="32"/>
      <c r="J2" s="33"/>
    </row>
    <row r="3" spans="2:10" x14ac:dyDescent="0.2">
      <c r="B3" s="35"/>
      <c r="C3" s="36" t="s">
        <v>16</v>
      </c>
      <c r="D3" s="57"/>
      <c r="E3" s="57"/>
      <c r="F3" s="57"/>
      <c r="G3" s="57"/>
      <c r="H3" s="57"/>
      <c r="I3" s="57"/>
      <c r="J3" s="37"/>
    </row>
    <row r="4" spans="2:10" x14ac:dyDescent="0.2">
      <c r="B4" s="35"/>
      <c r="C4" s="36"/>
      <c r="D4" s="36"/>
      <c r="E4" s="36"/>
      <c r="F4" s="36"/>
      <c r="G4" s="36"/>
      <c r="H4" s="36"/>
      <c r="I4" s="36"/>
      <c r="J4" s="37"/>
    </row>
    <row r="5" spans="2:10" x14ac:dyDescent="0.2">
      <c r="B5" s="35"/>
      <c r="C5" s="36" t="s">
        <v>72</v>
      </c>
      <c r="D5" s="57"/>
      <c r="E5" s="57"/>
      <c r="F5" s="57"/>
      <c r="G5" s="57"/>
      <c r="H5" s="57"/>
      <c r="I5" s="57"/>
      <c r="J5" s="37"/>
    </row>
    <row r="6" spans="2:10" x14ac:dyDescent="0.2">
      <c r="B6" s="35"/>
      <c r="C6" s="36"/>
      <c r="D6" s="36"/>
      <c r="E6" s="36"/>
      <c r="F6" s="36"/>
      <c r="G6" s="36"/>
      <c r="H6" s="36"/>
      <c r="I6" s="36"/>
      <c r="J6" s="37"/>
    </row>
    <row r="7" spans="2:10" x14ac:dyDescent="0.2">
      <c r="B7" s="35"/>
      <c r="C7" s="36" t="s">
        <v>73</v>
      </c>
      <c r="D7" s="57"/>
      <c r="E7" s="57"/>
      <c r="F7" s="57"/>
      <c r="G7" s="57"/>
      <c r="H7" s="57"/>
      <c r="I7" s="57"/>
      <c r="J7" s="37"/>
    </row>
    <row r="8" spans="2:10" x14ac:dyDescent="0.2">
      <c r="B8" s="35"/>
      <c r="C8" s="36"/>
      <c r="D8" s="36"/>
      <c r="E8" s="36"/>
      <c r="F8" s="36"/>
      <c r="G8" s="36"/>
      <c r="H8" s="36"/>
      <c r="I8" s="36"/>
      <c r="J8" s="37"/>
    </row>
    <row r="9" spans="2:10" x14ac:dyDescent="0.2">
      <c r="B9" s="35"/>
      <c r="C9" s="36"/>
      <c r="D9" s="36"/>
      <c r="E9" s="36"/>
      <c r="F9" s="36"/>
      <c r="G9" s="36"/>
      <c r="H9" s="36"/>
      <c r="I9" s="36"/>
      <c r="J9" s="37"/>
    </row>
    <row r="10" spans="2:10" x14ac:dyDescent="0.2">
      <c r="B10" s="35"/>
      <c r="C10" s="36"/>
      <c r="D10" s="36"/>
      <c r="E10" s="36"/>
      <c r="F10" s="36"/>
      <c r="G10" s="36"/>
      <c r="H10" s="36"/>
      <c r="I10" s="36"/>
      <c r="J10" s="37"/>
    </row>
    <row r="11" spans="2:10" x14ac:dyDescent="0.2">
      <c r="B11" s="35"/>
      <c r="C11" s="36"/>
      <c r="D11" s="36"/>
      <c r="E11" s="36"/>
      <c r="F11" s="36"/>
      <c r="G11" s="36"/>
      <c r="H11" s="36"/>
      <c r="I11" s="36"/>
      <c r="J11" s="37"/>
    </row>
    <row r="12" spans="2:10" x14ac:dyDescent="0.2">
      <c r="B12" s="38"/>
      <c r="C12" s="39"/>
      <c r="D12" s="39"/>
      <c r="E12" s="39"/>
      <c r="F12" s="39"/>
      <c r="G12" s="39"/>
      <c r="H12" s="39"/>
      <c r="I12" s="39"/>
      <c r="J12" s="4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A4C6-3012-4114-B279-A11A8E96ABB3}">
  <sheetPr codeName="Sheet6">
    <tabColor theme="5" tint="-0.249977111117893"/>
  </sheetPr>
  <dimension ref="A1:C1"/>
  <sheetViews>
    <sheetView zoomScale="160" zoomScaleNormal="160" workbookViewId="0">
      <selection activeCell="B23" sqref="B23"/>
    </sheetView>
  </sheetViews>
  <sheetFormatPr defaultColWidth="9.140625" defaultRowHeight="11.25" x14ac:dyDescent="0.2"/>
  <cols>
    <col min="1" max="3" width="32.28515625" style="42" customWidth="1"/>
    <col min="4" max="16384" width="9.140625" style="42"/>
  </cols>
  <sheetData>
    <row r="1" spans="1:3" x14ac:dyDescent="0.2">
      <c r="A1" s="41" t="s">
        <v>16</v>
      </c>
      <c r="B1" s="41" t="s">
        <v>72</v>
      </c>
      <c r="C1" s="4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341b75689fe90fa5cb9c9eb0c42eb59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9a85aa82d05c8913224cad4b224da51f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7C402-E4BC-4037-AE3B-9EB4D278552A}">
  <ds:schemaRefs>
    <ds:schemaRef ds:uri="http://schemas.microsoft.com/office/2006/metadata/properties"/>
    <ds:schemaRef ds:uri="http://schemas.microsoft.com/office/infopath/2007/PartnerControls"/>
    <ds:schemaRef ds:uri="987e5766-57f3-4737-be3d-6bfe0566c805"/>
    <ds:schemaRef ds:uri="c84c07bd-7ec1-430e-b903-ec8111e30105"/>
  </ds:schemaRefs>
</ds:datastoreItem>
</file>

<file path=customXml/itemProps2.xml><?xml version="1.0" encoding="utf-8"?>
<ds:datastoreItem xmlns:ds="http://schemas.openxmlformats.org/officeDocument/2006/customXml" ds:itemID="{DF9A9DE3-25DE-4064-BCD0-18C2E17D0136}"/>
</file>

<file path=customXml/itemProps3.xml><?xml version="1.0" encoding="utf-8"?>
<ds:datastoreItem xmlns:ds="http://schemas.openxmlformats.org/officeDocument/2006/customXml" ds:itemID="{11A1EFDC-C76C-4C4E-9A1A-0266D2C06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Exercício 1</vt:lpstr>
      <vt:lpstr>Exercício 2</vt:lpstr>
      <vt:lpstr>Exercício 3</vt:lpstr>
      <vt:lpstr>Exercício 4</vt:lpstr>
      <vt:lpstr>Exercício5</vt:lpstr>
      <vt:lpstr>Exercício5_tabeladados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 Correia</cp:lastModifiedBy>
  <dcterms:created xsi:type="dcterms:W3CDTF">2015-06-05T18:17:20Z</dcterms:created>
  <dcterms:modified xsi:type="dcterms:W3CDTF">2024-12-01T22:00:45Z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</Properties>
</file>