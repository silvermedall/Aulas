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gca\Desktop\Code\Aulas\AI\aula_02_10\"/>
    </mc:Choice>
  </mc:AlternateContent>
  <xr:revisionPtr revIDLastSave="0" documentId="13_ncr:1_{5A277AAB-0354-40E5-805E-4513AE3748A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xercicio 1" sheetId="2" r:id="rId1"/>
    <sheet name="Exercicio 2" sheetId="4" r:id="rId2"/>
    <sheet name="Exercicio 3" sheetId="5" r:id="rId3"/>
    <sheet name="Exercício 4" sheetId="7" r:id="rId4"/>
    <sheet name="Exercício 5" sheetId="9" r:id="rId5"/>
    <sheet name="Exercício 6" sheetId="10" r:id="rId6"/>
  </sheets>
  <definedNames>
    <definedName name="_xlnm._FilterDatabase" localSheetId="1" hidden="1">'Exercicio 2'!$F$4:$F$11</definedName>
    <definedName name="BD_Investigadores">#REF!</definedName>
    <definedName name="BD_S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9" l="1"/>
  <c r="E5" i="9"/>
  <c r="F5" i="9"/>
  <c r="G5" i="9"/>
  <c r="G5" i="10"/>
  <c r="F5" i="10"/>
  <c r="E5" i="10"/>
  <c r="D5" i="10"/>
  <c r="F5" i="7"/>
  <c r="F5" i="5"/>
  <c r="G5" i="5" s="1"/>
  <c r="H5" i="5" s="1"/>
  <c r="J6" i="5"/>
  <c r="J7" i="5"/>
  <c r="J8" i="5"/>
  <c r="J9" i="5"/>
  <c r="J10" i="5"/>
  <c r="J11" i="5"/>
  <c r="I6" i="5"/>
  <c r="I7" i="5"/>
  <c r="I8" i="5"/>
  <c r="I9" i="5"/>
  <c r="I10" i="5"/>
  <c r="I11" i="5"/>
  <c r="H6" i="5"/>
  <c r="H7" i="5"/>
  <c r="H8" i="5"/>
  <c r="H9" i="5"/>
  <c r="H10" i="5"/>
  <c r="H11" i="5"/>
  <c r="G6" i="5"/>
  <c r="G7" i="5"/>
  <c r="G8" i="5"/>
  <c r="G9" i="5"/>
  <c r="G10" i="5"/>
  <c r="G11" i="5"/>
  <c r="F6" i="5"/>
  <c r="F7" i="5"/>
  <c r="F8" i="5"/>
  <c r="F9" i="5"/>
  <c r="F10" i="5"/>
  <c r="F11" i="5"/>
  <c r="G5" i="7"/>
  <c r="E5" i="7"/>
  <c r="D5" i="7"/>
  <c r="E6" i="5"/>
  <c r="E7" i="5"/>
  <c r="E8" i="5"/>
  <c r="E9" i="5"/>
  <c r="E10" i="5"/>
  <c r="E11" i="5"/>
  <c r="E5" i="5"/>
  <c r="D11" i="5"/>
  <c r="D10" i="5"/>
  <c r="D9" i="5"/>
  <c r="D8" i="5"/>
  <c r="D7" i="5"/>
  <c r="D6" i="5"/>
  <c r="D5" i="5"/>
  <c r="G6" i="2"/>
  <c r="G7" i="2"/>
  <c r="G8" i="2"/>
  <c r="G9" i="2"/>
  <c r="G10" i="2"/>
  <c r="G11" i="2"/>
  <c r="G5" i="2"/>
  <c r="F6" i="2"/>
  <c r="F7" i="2"/>
  <c r="F8" i="2"/>
  <c r="F9" i="2"/>
  <c r="F10" i="2"/>
  <c r="F11" i="2"/>
  <c r="F5" i="2"/>
  <c r="E6" i="2"/>
  <c r="E7" i="2"/>
  <c r="E8" i="2"/>
  <c r="E9" i="2"/>
  <c r="E10" i="2"/>
  <c r="E11" i="2"/>
  <c r="E5" i="2"/>
  <c r="D6" i="2"/>
  <c r="D7" i="2"/>
  <c r="D8" i="2"/>
  <c r="D9" i="2"/>
  <c r="D10" i="2"/>
  <c r="D11" i="2"/>
  <c r="D5" i="2"/>
  <c r="I5" i="5" l="1"/>
  <c r="J5" i="5"/>
</calcChain>
</file>

<file path=xl/sharedStrings.xml><?xml version="1.0" encoding="utf-8"?>
<sst xmlns="http://schemas.openxmlformats.org/spreadsheetml/2006/main" count="153" uniqueCount="70">
  <si>
    <t>Funções arredondar</t>
  </si>
  <si>
    <t>Número</t>
  </si>
  <si>
    <t>Arredondar inteiro</t>
  </si>
  <si>
    <t>Arredondar com duas casas decimais</t>
  </si>
  <si>
    <t>Arredondar para cima com 3 casas decimais</t>
  </si>
  <si>
    <t>Arredondar para baixo número inteiro</t>
  </si>
  <si>
    <t>FUNÇÕES DE PESQUISA - VLOOKUP &amp; HLOOKUP</t>
  </si>
  <si>
    <t>(Com base do departamento)</t>
  </si>
  <si>
    <t>(Com base na idade de casa)</t>
  </si>
  <si>
    <t>(Com base no novo Vencimento Bruto)</t>
  </si>
  <si>
    <t>Nome</t>
  </si>
  <si>
    <t>Departamento</t>
  </si>
  <si>
    <t>Vencimento Base</t>
  </si>
  <si>
    <t>% de aumento</t>
  </si>
  <si>
    <t>Aumento Bruto</t>
  </si>
  <si>
    <t>Vencimento Bruto</t>
  </si>
  <si>
    <t>% a reter</t>
  </si>
  <si>
    <t>Vencimento Liquido</t>
  </si>
  <si>
    <t>Tempo de casa</t>
  </si>
  <si>
    <t>A Silva</t>
  </si>
  <si>
    <t>Informática</t>
  </si>
  <si>
    <t>B Costa</t>
  </si>
  <si>
    <t>Produção</t>
  </si>
  <si>
    <t>C Leça</t>
  </si>
  <si>
    <t>Logistica</t>
  </si>
  <si>
    <t>D Silva</t>
  </si>
  <si>
    <t>Recursos Humanos</t>
  </si>
  <si>
    <t>E Esteves</t>
  </si>
  <si>
    <t>F Maia</t>
  </si>
  <si>
    <t>G Pinto</t>
  </si>
  <si>
    <t>Diretor Geral</t>
  </si>
  <si>
    <t>Vencimento
Base</t>
  </si>
  <si>
    <t>Ordenado Bruto</t>
  </si>
  <si>
    <t>Funções de Pesquisa e Referência (Lista de dados &amp; Vlookup)</t>
  </si>
  <si>
    <t>Data Nascimento</t>
  </si>
  <si>
    <t>Sexo</t>
  </si>
  <si>
    <t>Telefone</t>
  </si>
  <si>
    <t>Salário</t>
  </si>
  <si>
    <t>a) No célula C5, disponibilizar Lista de todos os nome disponiveis</t>
  </si>
  <si>
    <t>b) Nas células D5, E5, F5 e G5, colocar valor correspondentes da tabela abaixo (de forma automática)</t>
  </si>
  <si>
    <t>Pedro Oliveira</t>
  </si>
  <si>
    <t>M</t>
  </si>
  <si>
    <t>Joana Fernandes</t>
  </si>
  <si>
    <t>F</t>
  </si>
  <si>
    <t>Américo Silva</t>
  </si>
  <si>
    <t>Martiniano Mestre</t>
  </si>
  <si>
    <t>Liliana Antunes</t>
  </si>
  <si>
    <t>Josélia Monteiro</t>
  </si>
  <si>
    <t>Ana Malaquias</t>
  </si>
  <si>
    <t>Funções de Pesquisa e Referência (Validação de dados &amp; INDEX-MATCH)</t>
  </si>
  <si>
    <t>Validação de dados</t>
  </si>
  <si>
    <t>Requisito</t>
  </si>
  <si>
    <t>Data</t>
  </si>
  <si>
    <t>Data em 2022</t>
  </si>
  <si>
    <t>Número Inteiro</t>
  </si>
  <si>
    <t>Número Inteiro de 0 a 20</t>
  </si>
  <si>
    <t>Número Decimal</t>
  </si>
  <si>
    <t>Lista de alunos</t>
  </si>
  <si>
    <t>Alunos</t>
  </si>
  <si>
    <t>Manuel</t>
  </si>
  <si>
    <t>Maria</t>
  </si>
  <si>
    <t>Joana</t>
  </si>
  <si>
    <t>Jorge</t>
  </si>
  <si>
    <t>Cláudia</t>
  </si>
  <si>
    <t>Sónia</t>
  </si>
  <si>
    <t>Margarida</t>
  </si>
  <si>
    <r>
      <t xml:space="preserve">Hora
</t>
    </r>
    <r>
      <rPr>
        <sz val="8"/>
        <color rgb="FF000000"/>
        <rFont val="Arial"/>
        <family val="2"/>
      </rPr>
      <t>Entre as 7h e as 15h</t>
    </r>
  </si>
  <si>
    <t>Valor</t>
  </si>
  <si>
    <t>Funções de Pesquisa e Referência (Validação de dados &amp; XLOOKUP</t>
  </si>
  <si>
    <t>(Vencimento Base x % de aumento)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</si>
</sst>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&quot;XDR&quot;_-;\-* #,##0.00\ &quot;XDR&quot;_-;_-* &quot;-&quot;??\ &quot;XDR&quot;_-;_-@_-"/>
    <numFmt numFmtId="165" formatCode="#,##0.00\ \€;[Red]#,##0.00\ \€"/>
    <numFmt numFmtId="166" formatCode="_([$€-2]\ * #,##0.00_);_([$€-2]\ * \(#,##0.00\);_([$€-2]\ * &quot;-&quot;??_);_(@_)"/>
    <numFmt numFmtId="167" formatCode="#,##0.00\ [$€-1]"/>
    <numFmt numFmtId="168" formatCode="_-[$€-2]\ * #,##0.00_-;\-[$€-2]\ * #,##0.00_-;_-[$€-2]\ * &quot;-&quot;??_-;_-@_-"/>
    <numFmt numFmtId="169" formatCode="_-* #,##0.00\ [$€-816]_-;\-* #,##0.00\ [$€-816]_-;_-* &quot;-&quot;??\ [$€-816]_-;_-@_-"/>
    <numFmt numFmtId="170" formatCode="#,##0.00\ &quot;€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 tint="0.249977111117893"/>
      <name val="Calibri"/>
      <family val="2"/>
      <scheme val="minor"/>
    </font>
    <font>
      <sz val="14"/>
      <name val="Arial"/>
      <family val="2"/>
    </font>
    <font>
      <b/>
      <sz val="12"/>
      <color theme="0"/>
      <name val="Verdana"/>
      <family val="2"/>
    </font>
    <font>
      <sz val="12"/>
      <color indexed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color theme="0"/>
      <name val="Verdana"/>
      <family val="2"/>
    </font>
    <font>
      <sz val="12"/>
      <name val="Verdana"/>
      <family val="2"/>
    </font>
    <font>
      <sz val="11"/>
      <color theme="9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0" xfId="1" applyFill="1" applyAlignment="1">
      <alignment horizontal="center" vertical="center"/>
    </xf>
    <xf numFmtId="0" fontId="2" fillId="0" borderId="0" xfId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2" fillId="2" borderId="1" xfId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2" fillId="2" borderId="0" xfId="1" applyFill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165" fontId="8" fillId="4" borderId="3" xfId="1" applyNumberFormat="1" applyFont="1" applyFill="1" applyBorder="1" applyAlignment="1">
      <alignment horizontal="center" vertical="center" wrapText="1"/>
    </xf>
    <xf numFmtId="9" fontId="9" fillId="4" borderId="3" xfId="3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66" fontId="8" fillId="0" borderId="0" xfId="1" applyNumberFormat="1" applyFont="1" applyAlignment="1">
      <alignment horizontal="center" vertical="center"/>
    </xf>
    <xf numFmtId="0" fontId="10" fillId="3" borderId="4" xfId="1" applyFont="1" applyFill="1" applyBorder="1" applyAlignment="1">
      <alignment horizontal="center" vertical="center" wrapText="1"/>
    </xf>
    <xf numFmtId="166" fontId="11" fillId="0" borderId="3" xfId="1" applyNumberFormat="1" applyFont="1" applyBorder="1" applyAlignment="1">
      <alignment horizontal="center" vertical="center" wrapText="1"/>
    </xf>
    <xf numFmtId="167" fontId="11" fillId="0" borderId="3" xfId="1" applyNumberFormat="1" applyFont="1" applyBorder="1" applyAlignment="1">
      <alignment horizontal="center" vertical="center" wrapText="1"/>
    </xf>
    <xf numFmtId="9" fontId="11" fillId="0" borderId="3" xfId="3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2" fillId="2" borderId="0" xfId="2" applyFont="1" applyFill="1"/>
    <xf numFmtId="0" fontId="3" fillId="2" borderId="1" xfId="2" applyFont="1" applyFill="1" applyBorder="1" applyAlignment="1">
      <alignment vertical="center"/>
    </xf>
    <xf numFmtId="0" fontId="12" fillId="2" borderId="1" xfId="2" applyFont="1" applyFill="1" applyBorder="1"/>
    <xf numFmtId="0" fontId="1" fillId="0" borderId="0" xfId="2"/>
    <xf numFmtId="0" fontId="1" fillId="2" borderId="0" xfId="2" applyFill="1"/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14" fontId="13" fillId="4" borderId="5" xfId="2" applyNumberFormat="1" applyFont="1" applyFill="1" applyBorder="1" applyAlignment="1">
      <alignment horizontal="center" vertical="center"/>
    </xf>
    <xf numFmtId="0" fontId="13" fillId="2" borderId="0" xfId="2" applyFont="1" applyFill="1"/>
    <xf numFmtId="0" fontId="13" fillId="0" borderId="0" xfId="2" applyFont="1"/>
    <xf numFmtId="0" fontId="1" fillId="2" borderId="0" xfId="2" applyFill="1" applyAlignment="1">
      <alignment horizontal="center"/>
    </xf>
    <xf numFmtId="14" fontId="6" fillId="0" borderId="3" xfId="1" applyNumberFormat="1" applyFont="1" applyBorder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/>
    </xf>
    <xf numFmtId="168" fontId="6" fillId="0" borderId="3" xfId="4" applyNumberFormat="1" applyFont="1" applyBorder="1" applyAlignment="1">
      <alignment horizontal="center" vertical="center" wrapText="1"/>
    </xf>
    <xf numFmtId="168" fontId="6" fillId="0" borderId="3" xfId="1" applyNumberFormat="1" applyFont="1" applyBorder="1" applyAlignment="1">
      <alignment horizontal="center" vertical="center" wrapText="1"/>
    </xf>
    <xf numFmtId="14" fontId="6" fillId="4" borderId="3" xfId="1" applyNumberFormat="1" applyFont="1" applyFill="1" applyBorder="1" applyAlignment="1">
      <alignment horizontal="center" vertical="center" wrapText="1"/>
    </xf>
    <xf numFmtId="20" fontId="6" fillId="4" borderId="3" xfId="1" applyNumberFormat="1" applyFont="1" applyFill="1" applyBorder="1" applyAlignment="1">
      <alignment horizontal="center" vertical="center" wrapText="1"/>
    </xf>
    <xf numFmtId="169" fontId="13" fillId="4" borderId="5" xfId="4" applyNumberFormat="1" applyFont="1" applyFill="1" applyBorder="1" applyAlignment="1">
      <alignment horizontal="center" vertical="center"/>
    </xf>
    <xf numFmtId="0" fontId="13" fillId="4" borderId="5" xfId="2" applyFont="1" applyFill="1" applyBorder="1" applyAlignment="1">
      <alignment horizontal="center" vertical="center"/>
    </xf>
    <xf numFmtId="170" fontId="13" fillId="4" borderId="5" xfId="2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13" fillId="4" borderId="5" xfId="2" applyNumberFormat="1" applyFont="1" applyFill="1" applyBorder="1" applyAlignment="1">
      <alignment horizontal="center" vertical="center"/>
    </xf>
  </cellXfs>
  <cellStyles count="5">
    <cellStyle name="Currency" xfId="4" builtinId="4"/>
    <cellStyle name="Normal" xfId="0" builtinId="0"/>
    <cellStyle name="Normal 2" xfId="1" xr:uid="{16C948BF-6926-4F24-AE8C-7BF6365EE83E}"/>
    <cellStyle name="Normal 2 2" xfId="2" xr:uid="{CAAED98B-504D-4E90-8287-D7D321F3B6F3}"/>
    <cellStyle name="Percent 2" xfId="3" xr:uid="{76FB6F59-BF6E-4E3C-B467-71FF52C3CA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07FF-E5DF-4714-AF50-BED1C7B894B2}">
  <sheetPr>
    <tabColor theme="1" tint="0.499984740745262"/>
  </sheetPr>
  <dimension ref="B2:H12"/>
  <sheetViews>
    <sheetView showGridLines="0" workbookViewId="0">
      <selection activeCell="J11" sqref="J11"/>
    </sheetView>
  </sheetViews>
  <sheetFormatPr defaultColWidth="8.6640625" defaultRowHeight="17.399999999999999" x14ac:dyDescent="0.3"/>
  <cols>
    <col min="1" max="1" width="8.6640625" style="2"/>
    <col min="2" max="2" width="0.5546875" style="2" customWidth="1"/>
    <col min="3" max="3" width="14.109375" style="7" bestFit="1" customWidth="1"/>
    <col min="4" max="4" width="15.33203125" style="7" bestFit="1" customWidth="1"/>
    <col min="5" max="5" width="27.88671875" style="7" bestFit="1" customWidth="1"/>
    <col min="6" max="6" width="28.33203125" style="7" bestFit="1" customWidth="1"/>
    <col min="7" max="7" width="29.33203125" style="7" bestFit="1" customWidth="1"/>
    <col min="8" max="8" width="0.88671875" style="2" customWidth="1"/>
    <col min="9" max="16384" width="8.6640625" style="2"/>
  </cols>
  <sheetData>
    <row r="2" spans="2:8" ht="25.8" x14ac:dyDescent="0.3">
      <c r="B2" s="1"/>
      <c r="C2" s="41" t="s">
        <v>0</v>
      </c>
      <c r="D2" s="41"/>
      <c r="E2" s="41"/>
      <c r="F2" s="41"/>
      <c r="G2" s="41"/>
      <c r="H2" s="1"/>
    </row>
    <row r="3" spans="2:8" x14ac:dyDescent="0.3">
      <c r="B3" s="1"/>
      <c r="C3" s="3"/>
      <c r="D3" s="3"/>
      <c r="E3" s="3"/>
      <c r="F3" s="3"/>
      <c r="G3" s="3"/>
      <c r="H3" s="1"/>
    </row>
    <row r="4" spans="2:8" ht="48.6" x14ac:dyDescent="0.3">
      <c r="B4" s="1"/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1"/>
    </row>
    <row r="5" spans="2:8" ht="15" x14ac:dyDescent="0.3">
      <c r="B5" s="1"/>
      <c r="C5" s="5">
        <v>3.14159265358979</v>
      </c>
      <c r="D5" s="6">
        <f>ROUND(C5,0)</f>
        <v>3</v>
      </c>
      <c r="E5" s="6">
        <f>ROUND(C5,2)</f>
        <v>3.14</v>
      </c>
      <c r="F5" s="6">
        <f>ROUNDUP(C5,3)</f>
        <v>3.1419999999999999</v>
      </c>
      <c r="G5" s="6">
        <f>ROUNDDOWN(C5,0)</f>
        <v>3</v>
      </c>
      <c r="H5" s="1"/>
    </row>
    <row r="6" spans="2:8" ht="15" x14ac:dyDescent="0.3">
      <c r="B6" s="1"/>
      <c r="C6" s="5">
        <v>21.56416484</v>
      </c>
      <c r="D6" s="6">
        <f t="shared" ref="D6:D11" si="0">ROUND(C6,0)</f>
        <v>22</v>
      </c>
      <c r="E6" s="6">
        <f t="shared" ref="E6:E11" si="1">ROUND(C6,2)</f>
        <v>21.56</v>
      </c>
      <c r="F6" s="6">
        <f t="shared" ref="F6:F11" si="2">ROUNDUP(C6,3)</f>
        <v>21.565000000000001</v>
      </c>
      <c r="G6" s="6">
        <f t="shared" ref="G6:G11" si="3">ROUNDDOWN(C6,0)</f>
        <v>21</v>
      </c>
      <c r="H6" s="1"/>
    </row>
    <row r="7" spans="2:8" ht="15" x14ac:dyDescent="0.3">
      <c r="B7" s="1"/>
      <c r="C7" s="5">
        <v>14.63514</v>
      </c>
      <c r="D7" s="6">
        <f t="shared" si="0"/>
        <v>15</v>
      </c>
      <c r="E7" s="6">
        <f t="shared" si="1"/>
        <v>14.64</v>
      </c>
      <c r="F7" s="6">
        <f t="shared" si="2"/>
        <v>14.635999999999999</v>
      </c>
      <c r="G7" s="6">
        <f t="shared" si="3"/>
        <v>14</v>
      </c>
      <c r="H7" s="1"/>
    </row>
    <row r="8" spans="2:8" ht="15" x14ac:dyDescent="0.3">
      <c r="B8" s="1"/>
      <c r="C8" s="5">
        <v>35.454161464000002</v>
      </c>
      <c r="D8" s="6">
        <f t="shared" si="0"/>
        <v>35</v>
      </c>
      <c r="E8" s="6">
        <f t="shared" si="1"/>
        <v>35.450000000000003</v>
      </c>
      <c r="F8" s="6">
        <f t="shared" si="2"/>
        <v>35.454999999999998</v>
      </c>
      <c r="G8" s="6">
        <f t="shared" si="3"/>
        <v>35</v>
      </c>
      <c r="H8" s="1"/>
    </row>
    <row r="9" spans="2:8" ht="15" x14ac:dyDescent="0.3">
      <c r="B9" s="1"/>
      <c r="C9" s="5">
        <v>15</v>
      </c>
      <c r="D9" s="6">
        <f t="shared" si="0"/>
        <v>15</v>
      </c>
      <c r="E9" s="6">
        <f t="shared" si="1"/>
        <v>15</v>
      </c>
      <c r="F9" s="6">
        <f t="shared" si="2"/>
        <v>15</v>
      </c>
      <c r="G9" s="6">
        <f t="shared" si="3"/>
        <v>15</v>
      </c>
      <c r="H9" s="1"/>
    </row>
    <row r="10" spans="2:8" ht="15" x14ac:dyDescent="0.3">
      <c r="B10" s="1"/>
      <c r="C10" s="5">
        <v>20.164415999999999</v>
      </c>
      <c r="D10" s="6">
        <f t="shared" si="0"/>
        <v>20</v>
      </c>
      <c r="E10" s="6">
        <f t="shared" si="1"/>
        <v>20.16</v>
      </c>
      <c r="F10" s="6">
        <f t="shared" si="2"/>
        <v>20.165000000000003</v>
      </c>
      <c r="G10" s="6">
        <f t="shared" si="3"/>
        <v>20</v>
      </c>
      <c r="H10" s="1"/>
    </row>
    <row r="11" spans="2:8" ht="15" x14ac:dyDescent="0.3">
      <c r="B11" s="1"/>
      <c r="C11" s="5">
        <v>0.55000000000000004</v>
      </c>
      <c r="D11" s="6">
        <f t="shared" si="0"/>
        <v>1</v>
      </c>
      <c r="E11" s="6">
        <f t="shared" si="1"/>
        <v>0.55000000000000004</v>
      </c>
      <c r="F11" s="6">
        <f t="shared" si="2"/>
        <v>0.55000000000000004</v>
      </c>
      <c r="G11" s="6">
        <f t="shared" si="3"/>
        <v>0</v>
      </c>
      <c r="H11" s="1"/>
    </row>
    <row r="12" spans="2:8" x14ac:dyDescent="0.3">
      <c r="B12" s="1"/>
      <c r="C12" s="3"/>
      <c r="D12" s="3"/>
      <c r="E12" s="3"/>
      <c r="F12" s="3"/>
      <c r="G12" s="3"/>
      <c r="H12" s="1"/>
    </row>
  </sheetData>
  <mergeCells count="1">
    <mergeCell ref="C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6492-F5BF-4601-BE11-EA8CC07D46B8}">
  <sheetPr>
    <tabColor theme="2" tint="-9.9978637043366805E-2"/>
  </sheetPr>
  <dimension ref="B2:G12"/>
  <sheetViews>
    <sheetView showGridLines="0" zoomScale="101" zoomScaleNormal="115" workbookViewId="0">
      <selection activeCell="D10" sqref="D10"/>
    </sheetView>
  </sheetViews>
  <sheetFormatPr defaultColWidth="8.6640625" defaultRowHeight="17.399999999999999" x14ac:dyDescent="0.3"/>
  <cols>
    <col min="1" max="1" width="8.6640625" style="2"/>
    <col min="2" max="2" width="0.5546875" style="2" customWidth="1"/>
    <col min="3" max="3" width="25.44140625" style="7" bestFit="1" customWidth="1"/>
    <col min="4" max="4" width="15.33203125" style="7" bestFit="1" customWidth="1"/>
    <col min="5" max="5" width="27.88671875" style="7" bestFit="1" customWidth="1"/>
    <col min="6" max="6" width="28.33203125" style="7" bestFit="1" customWidth="1"/>
    <col min="7" max="7" width="0.88671875" style="2" customWidth="1"/>
    <col min="8" max="16384" width="8.6640625" style="2"/>
  </cols>
  <sheetData>
    <row r="2" spans="2:7" ht="25.8" x14ac:dyDescent="0.3">
      <c r="B2" s="8"/>
      <c r="C2" s="41" t="s">
        <v>50</v>
      </c>
      <c r="D2" s="41"/>
      <c r="E2" s="41"/>
      <c r="F2" s="41"/>
      <c r="G2" s="8"/>
    </row>
    <row r="3" spans="2:7" x14ac:dyDescent="0.3">
      <c r="B3" s="1"/>
      <c r="C3" s="3"/>
      <c r="D3" s="3"/>
      <c r="E3" s="3"/>
      <c r="F3" s="3"/>
      <c r="G3" s="1"/>
    </row>
    <row r="4" spans="2:7" x14ac:dyDescent="0.3">
      <c r="B4" s="1"/>
      <c r="C4" s="4" t="s">
        <v>51</v>
      </c>
      <c r="D4" s="4" t="s">
        <v>67</v>
      </c>
      <c r="E4" s="3"/>
      <c r="F4" s="4" t="s">
        <v>58</v>
      </c>
      <c r="G4" s="1"/>
    </row>
    <row r="5" spans="2:7" ht="17.399999999999999" customHeight="1" x14ac:dyDescent="0.3">
      <c r="B5" s="1"/>
      <c r="C5" s="5" t="s">
        <v>52</v>
      </c>
      <c r="D5" s="36">
        <v>45788</v>
      </c>
      <c r="E5" s="3"/>
      <c r="F5" s="5" t="s">
        <v>63</v>
      </c>
      <c r="G5" s="1"/>
    </row>
    <row r="6" spans="2:7" ht="17.399999999999999" customHeight="1" x14ac:dyDescent="0.3">
      <c r="B6" s="1"/>
      <c r="C6" s="5" t="s">
        <v>53</v>
      </c>
      <c r="D6" s="36">
        <v>44926</v>
      </c>
      <c r="E6" s="3"/>
      <c r="F6" s="5" t="s">
        <v>61</v>
      </c>
      <c r="G6" s="1"/>
    </row>
    <row r="7" spans="2:7" ht="17.399999999999999" customHeight="1" x14ac:dyDescent="0.3">
      <c r="B7" s="1"/>
      <c r="C7" s="5" t="s">
        <v>54</v>
      </c>
      <c r="D7" s="6">
        <v>500</v>
      </c>
      <c r="E7" s="3"/>
      <c r="F7" s="5" t="s">
        <v>62</v>
      </c>
      <c r="G7" s="1"/>
    </row>
    <row r="8" spans="2:7" ht="17.399999999999999" customHeight="1" x14ac:dyDescent="0.3">
      <c r="B8" s="1"/>
      <c r="C8" s="5" t="s">
        <v>55</v>
      </c>
      <c r="D8" s="6">
        <v>19</v>
      </c>
      <c r="E8" s="3"/>
      <c r="F8" s="5" t="s">
        <v>59</v>
      </c>
      <c r="G8" s="1"/>
    </row>
    <row r="9" spans="2:7" ht="17.399999999999999" customHeight="1" x14ac:dyDescent="0.3">
      <c r="B9" s="1"/>
      <c r="C9" s="5" t="s">
        <v>56</v>
      </c>
      <c r="D9" s="6">
        <v>0.56000000000000005</v>
      </c>
      <c r="E9" s="3"/>
      <c r="F9" s="5" t="s">
        <v>65</v>
      </c>
      <c r="G9" s="1"/>
    </row>
    <row r="10" spans="2:7" ht="25.2" x14ac:dyDescent="0.3">
      <c r="B10" s="1"/>
      <c r="C10" s="5" t="s">
        <v>66</v>
      </c>
      <c r="D10" s="37">
        <v>0.37430555555555556</v>
      </c>
      <c r="E10" s="3"/>
      <c r="F10" s="5" t="s">
        <v>60</v>
      </c>
      <c r="G10" s="1"/>
    </row>
    <row r="11" spans="2:7" ht="17.399999999999999" customHeight="1" x14ac:dyDescent="0.3">
      <c r="B11" s="1"/>
      <c r="C11" s="5" t="s">
        <v>57</v>
      </c>
      <c r="D11" s="6" t="s">
        <v>60</v>
      </c>
      <c r="E11" s="3"/>
      <c r="F11" s="5" t="s">
        <v>64</v>
      </c>
      <c r="G11" s="1"/>
    </row>
    <row r="12" spans="2:7" x14ac:dyDescent="0.3">
      <c r="B12" s="1"/>
      <c r="C12" s="3"/>
      <c r="D12" s="3"/>
      <c r="E12" s="3"/>
      <c r="F12" s="3"/>
      <c r="G12" s="1"/>
    </row>
  </sheetData>
  <mergeCells count="1">
    <mergeCell ref="C2:F2"/>
  </mergeCells>
  <dataValidations count="7">
    <dataValidation type="date" allowBlank="1" showInputMessage="1" showErrorMessage="1" promptTitle="Data" prompt="dd/mm/aaaa" sqref="D5" xr:uid="{C05C14CA-4ECA-4A3E-AE71-178DE58032E1}">
      <formula1>45658</formula1>
      <formula2>46022</formula2>
    </dataValidation>
    <dataValidation type="date" allowBlank="1" showInputMessage="1" showErrorMessage="1" promptTitle="Data em 2022" prompt="dd/mm/2022" sqref="D6" xr:uid="{831CEBAC-FF09-4D61-83FF-0194D45EA3A9}">
      <formula1>44562</formula1>
      <formula2>44926</formula2>
    </dataValidation>
    <dataValidation type="whole" allowBlank="1" showInputMessage="1" showErrorMessage="1" promptTitle="Número Inteiro" prompt="Coloque um número inteiro" sqref="D7" xr:uid="{3260ECD7-5114-4560-B56A-EE5C3273F34D}">
      <formula1>0</formula1>
      <formula2>999999999</formula2>
    </dataValidation>
    <dataValidation type="whole" allowBlank="1" showInputMessage="1" showErrorMessage="1" promptTitle="Número Inteiro de 0 a 20" prompt="Coloque um número inteiro entre 0 a 20" sqref="D8" xr:uid="{5B10C93E-03C8-4B6F-A6CD-94A585DC60BF}">
      <formula1>0</formula1>
      <formula2>20</formula2>
    </dataValidation>
    <dataValidation type="decimal" allowBlank="1" showInputMessage="1" showErrorMessage="1" promptTitle="Número Decimal" prompt="Coloque um número decimal" sqref="D9" xr:uid="{91F4AD66-28C5-495F-B4EF-98A56204A6D8}">
      <formula1>0</formula1>
      <formula2>1</formula2>
    </dataValidation>
    <dataValidation type="time" allowBlank="1" showInputMessage="1" showErrorMessage="1" promptTitle="Hora" prompt="hh:mm" sqref="D10" xr:uid="{37781C9A-DC78-4E8B-A928-5469DE3BED65}">
      <formula1>0.291666666666667</formula1>
      <formula2>0.625</formula2>
    </dataValidation>
    <dataValidation type="list" allowBlank="1" showInputMessage="1" showErrorMessage="1" sqref="D11" xr:uid="{4D6E8B4D-3E63-470A-A09A-46757A204961}">
      <formula1>F5:F11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2382-1955-40B9-9F62-C45BED5F1FB2}">
  <sheetPr>
    <tabColor theme="3" tint="0.79998168889431442"/>
  </sheetPr>
  <dimension ref="B2:P33"/>
  <sheetViews>
    <sheetView showGridLines="0" zoomScale="85" zoomScaleNormal="85" workbookViewId="0">
      <selection activeCell="H5" sqref="H5"/>
    </sheetView>
  </sheetViews>
  <sheetFormatPr defaultColWidth="8.6640625" defaultRowHeight="13.2" x14ac:dyDescent="0.3"/>
  <cols>
    <col min="1" max="1" width="8.6640625" style="2"/>
    <col min="2" max="2" width="1.109375" style="2" customWidth="1"/>
    <col min="3" max="3" width="14.44140625" style="20" customWidth="1"/>
    <col min="4" max="4" width="22" style="2" customWidth="1"/>
    <col min="5" max="5" width="24.6640625" style="2" customWidth="1"/>
    <col min="6" max="7" width="16.5546875" style="2" customWidth="1"/>
    <col min="8" max="8" width="26.6640625" style="2" customWidth="1"/>
    <col min="9" max="9" width="17.44140625" style="2" customWidth="1"/>
    <col min="10" max="10" width="23.5546875" style="2" bestFit="1" customWidth="1"/>
    <col min="11" max="11" width="14.6640625" style="2" bestFit="1" customWidth="1"/>
    <col min="12" max="12" width="8.6640625" style="2"/>
    <col min="13" max="13" width="26.5546875" style="2" customWidth="1"/>
    <col min="14" max="14" width="15.88671875" style="2" bestFit="1" customWidth="1"/>
    <col min="15" max="15" width="19.109375" style="2" bestFit="1" customWidth="1"/>
    <col min="16" max="16" width="0.44140625" style="2" customWidth="1"/>
    <col min="17" max="21" width="11.33203125" style="2" bestFit="1" customWidth="1"/>
    <col min="22" max="16384" width="8.6640625" style="2"/>
  </cols>
  <sheetData>
    <row r="2" spans="2:16" ht="25.8" x14ac:dyDescent="0.3">
      <c r="B2" s="1"/>
      <c r="C2" s="41" t="s">
        <v>6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2:16" ht="49.5" customHeight="1" x14ac:dyDescent="0.3">
      <c r="B3" s="1"/>
      <c r="C3" s="9"/>
      <c r="D3" s="1"/>
      <c r="E3" s="10" t="s">
        <v>7</v>
      </c>
      <c r="F3" s="10" t="s">
        <v>8</v>
      </c>
      <c r="G3" s="10" t="s">
        <v>69</v>
      </c>
      <c r="H3" s="10"/>
      <c r="I3" s="10" t="s">
        <v>9</v>
      </c>
      <c r="J3" s="10"/>
      <c r="K3" s="1"/>
      <c r="L3" s="1"/>
      <c r="M3" s="1"/>
      <c r="N3" s="1"/>
      <c r="O3" s="1"/>
      <c r="P3" s="1"/>
    </row>
    <row r="4" spans="2:16" ht="41.1" customHeight="1" x14ac:dyDescent="0.3">
      <c r="B4" s="1"/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11" t="s">
        <v>15</v>
      </c>
      <c r="I4" s="11" t="s">
        <v>16</v>
      </c>
      <c r="J4" s="11" t="s">
        <v>17</v>
      </c>
      <c r="K4" s="1"/>
      <c r="L4" s="1"/>
      <c r="M4" s="4" t="s">
        <v>10</v>
      </c>
      <c r="N4" s="4" t="s">
        <v>18</v>
      </c>
      <c r="O4" s="4" t="s">
        <v>11</v>
      </c>
      <c r="P4" s="1"/>
    </row>
    <row r="5" spans="2:16" ht="15.6" x14ac:dyDescent="0.3">
      <c r="B5" s="1"/>
      <c r="C5" s="5" t="s">
        <v>19</v>
      </c>
      <c r="D5" s="12" t="str">
        <f>VLOOKUP(C5,$M$5:$O$11,3)</f>
        <v>Informática</v>
      </c>
      <c r="E5" s="12">
        <f>VLOOKUP(D5,$M$15:$N$19,2,FALSE)</f>
        <v>2200</v>
      </c>
      <c r="F5" s="13">
        <f>VLOOKUP(VLOOKUP(C5,$M$5:$N$11,2,FALSE),$M$22:$N$30,2,TRUE)</f>
        <v>1.2999999999999999E-2</v>
      </c>
      <c r="G5" s="12">
        <f>E5*F5</f>
        <v>28.599999999999998</v>
      </c>
      <c r="H5" s="12">
        <f>E5+G5</f>
        <v>2228.6</v>
      </c>
      <c r="I5" s="13">
        <f>HLOOKUP(H5,$D$21:$K$22,2,TRUE)</f>
        <v>0.04</v>
      </c>
      <c r="J5" s="12">
        <f>H5-(H5*I5)</f>
        <v>2139.4560000000001</v>
      </c>
      <c r="K5" s="1"/>
      <c r="L5" s="1"/>
      <c r="M5" s="5" t="s">
        <v>19</v>
      </c>
      <c r="N5" s="2">
        <v>5</v>
      </c>
      <c r="O5" s="2" t="s">
        <v>20</v>
      </c>
      <c r="P5" s="1"/>
    </row>
    <row r="6" spans="2:16" ht="15.6" x14ac:dyDescent="0.3">
      <c r="B6" s="1"/>
      <c r="C6" s="5" t="s">
        <v>21</v>
      </c>
      <c r="D6" s="12" t="str">
        <f>VLOOKUP(C6,$M$5:$O$11,3)</f>
        <v>Produção</v>
      </c>
      <c r="E6" s="12">
        <f t="shared" ref="E6:E11" si="0">VLOOKUP(D6,$M$15:$N$19,2,FALSE)</f>
        <v>1500</v>
      </c>
      <c r="F6" s="13">
        <f>VLOOKUP(VLOOKUP(C6,$M$5:$N$11,2,FALSE),$M$22:$N$30,2,TRUE)</f>
        <v>1.2999999999999999E-2</v>
      </c>
      <c r="G6" s="12">
        <f t="shared" ref="G6:G11" si="1">E6*F6</f>
        <v>19.5</v>
      </c>
      <c r="H6" s="12">
        <f t="shared" ref="H6:H11" si="2">E6+G6</f>
        <v>1519.5</v>
      </c>
      <c r="I6" s="13">
        <f t="shared" ref="I6:I11" si="3">HLOOKUP(H6,$D$21:$K$22,2,TRUE)</f>
        <v>0.03</v>
      </c>
      <c r="J6" s="12">
        <f t="shared" ref="J6:J11" si="4">H6-(H6*I6)</f>
        <v>1473.915</v>
      </c>
      <c r="K6" s="1"/>
      <c r="L6" s="1"/>
      <c r="M6" s="5" t="s">
        <v>21</v>
      </c>
      <c r="N6" s="2">
        <v>7</v>
      </c>
      <c r="O6" s="2" t="s">
        <v>22</v>
      </c>
      <c r="P6" s="1"/>
    </row>
    <row r="7" spans="2:16" ht="15.6" x14ac:dyDescent="0.3">
      <c r="B7" s="1"/>
      <c r="C7" s="5" t="s">
        <v>23</v>
      </c>
      <c r="D7" s="12" t="str">
        <f>VLOOKUP(M7,$M$5:$O$11,3)</f>
        <v>Logistica</v>
      </c>
      <c r="E7" s="12">
        <f t="shared" si="0"/>
        <v>3000</v>
      </c>
      <c r="F7" s="13">
        <f t="shared" ref="F7:F11" si="5">VLOOKUP(VLOOKUP(C7,$M$5:$N$11,2,FALSE),$M$22:$N$30,2,TRUE)</f>
        <v>1.2999999999999999E-2</v>
      </c>
      <c r="G7" s="12">
        <f t="shared" si="1"/>
        <v>39</v>
      </c>
      <c r="H7" s="12">
        <f t="shared" si="2"/>
        <v>3039</v>
      </c>
      <c r="I7" s="13">
        <f t="shared" si="3"/>
        <v>0.05</v>
      </c>
      <c r="J7" s="12">
        <f t="shared" si="4"/>
        <v>2887.05</v>
      </c>
      <c r="K7" s="1"/>
      <c r="L7" s="1"/>
      <c r="M7" s="5" t="s">
        <v>23</v>
      </c>
      <c r="N7" s="2">
        <v>8</v>
      </c>
      <c r="O7" s="2" t="s">
        <v>24</v>
      </c>
      <c r="P7" s="1"/>
    </row>
    <row r="8" spans="2:16" ht="15.6" x14ac:dyDescent="0.3">
      <c r="B8" s="1"/>
      <c r="C8" s="5" t="s">
        <v>25</v>
      </c>
      <c r="D8" s="12" t="str">
        <f>VLOOKUP(C8,$M$5:$O$11,3)</f>
        <v>Recursos Humanos</v>
      </c>
      <c r="E8" s="12">
        <f t="shared" si="0"/>
        <v>1800</v>
      </c>
      <c r="F8" s="13">
        <f t="shared" si="5"/>
        <v>2.5999999999999999E-2</v>
      </c>
      <c r="G8" s="12">
        <f t="shared" si="1"/>
        <v>46.8</v>
      </c>
      <c r="H8" s="12">
        <f t="shared" si="2"/>
        <v>1846.8</v>
      </c>
      <c r="I8" s="13">
        <f t="shared" si="3"/>
        <v>0.03</v>
      </c>
      <c r="J8" s="12">
        <f t="shared" si="4"/>
        <v>1791.396</v>
      </c>
      <c r="K8" s="1"/>
      <c r="L8" s="1"/>
      <c r="M8" s="5" t="s">
        <v>25</v>
      </c>
      <c r="N8" s="2">
        <v>15</v>
      </c>
      <c r="O8" s="2" t="s">
        <v>26</v>
      </c>
      <c r="P8" s="1"/>
    </row>
    <row r="9" spans="2:16" ht="15.6" x14ac:dyDescent="0.3">
      <c r="B9" s="1"/>
      <c r="C9" s="5" t="s">
        <v>27</v>
      </c>
      <c r="D9" s="12" t="str">
        <f>VLOOKUP(C9,$M$5:$O$11,3)</f>
        <v>Logistica</v>
      </c>
      <c r="E9" s="12">
        <f t="shared" si="0"/>
        <v>3000</v>
      </c>
      <c r="F9" s="13">
        <f t="shared" si="5"/>
        <v>3.9E-2</v>
      </c>
      <c r="G9" s="12">
        <f t="shared" si="1"/>
        <v>117</v>
      </c>
      <c r="H9" s="12">
        <f t="shared" si="2"/>
        <v>3117</v>
      </c>
      <c r="I9" s="13">
        <f t="shared" si="3"/>
        <v>0.05</v>
      </c>
      <c r="J9" s="12">
        <f t="shared" si="4"/>
        <v>2961.15</v>
      </c>
      <c r="K9" s="1"/>
      <c r="L9" s="1"/>
      <c r="M9" s="5" t="s">
        <v>27</v>
      </c>
      <c r="N9" s="2">
        <v>20</v>
      </c>
      <c r="O9" s="2" t="s">
        <v>24</v>
      </c>
      <c r="P9" s="1"/>
    </row>
    <row r="10" spans="2:16" ht="15.6" x14ac:dyDescent="0.3">
      <c r="B10" s="1"/>
      <c r="C10" s="5" t="s">
        <v>28</v>
      </c>
      <c r="D10" s="12" t="str">
        <f>VLOOKUP(C10,$M$5:$O$11,3)</f>
        <v>Produção</v>
      </c>
      <c r="E10" s="12">
        <f t="shared" si="0"/>
        <v>1500</v>
      </c>
      <c r="F10" s="13">
        <f t="shared" si="5"/>
        <v>5.1999999999999998E-2</v>
      </c>
      <c r="G10" s="12">
        <f t="shared" si="1"/>
        <v>78</v>
      </c>
      <c r="H10" s="12">
        <f t="shared" si="2"/>
        <v>1578</v>
      </c>
      <c r="I10" s="13">
        <f t="shared" si="3"/>
        <v>0.03</v>
      </c>
      <c r="J10" s="12">
        <f t="shared" si="4"/>
        <v>1530.66</v>
      </c>
      <c r="K10" s="1"/>
      <c r="L10" s="1"/>
      <c r="M10" s="5" t="s">
        <v>28</v>
      </c>
      <c r="N10" s="2">
        <v>26</v>
      </c>
      <c r="O10" s="2" t="s">
        <v>22</v>
      </c>
      <c r="P10" s="1"/>
    </row>
    <row r="11" spans="2:16" ht="15.6" x14ac:dyDescent="0.3">
      <c r="B11" s="1"/>
      <c r="C11" s="5" t="s">
        <v>29</v>
      </c>
      <c r="D11" s="12" t="str">
        <f>VLOOKUP(C11,$M$5:$O$11,3)</f>
        <v>Diretor Geral</v>
      </c>
      <c r="E11" s="12">
        <f t="shared" si="0"/>
        <v>5000</v>
      </c>
      <c r="F11" s="13">
        <f t="shared" si="5"/>
        <v>7.8E-2</v>
      </c>
      <c r="G11" s="12">
        <f t="shared" si="1"/>
        <v>390</v>
      </c>
      <c r="H11" s="12">
        <f t="shared" si="2"/>
        <v>5390</v>
      </c>
      <c r="I11" s="13">
        <f t="shared" si="3"/>
        <v>7.0000000000000007E-2</v>
      </c>
      <c r="J11" s="12">
        <f t="shared" si="4"/>
        <v>5012.7</v>
      </c>
      <c r="K11" s="1"/>
      <c r="L11" s="1"/>
      <c r="M11" s="5" t="s">
        <v>29</v>
      </c>
      <c r="N11" s="2">
        <v>39</v>
      </c>
      <c r="O11" s="2" t="s">
        <v>30</v>
      </c>
      <c r="P11" s="1"/>
    </row>
    <row r="12" spans="2:16" x14ac:dyDescent="0.3">
      <c r="B12" s="1"/>
      <c r="C12" s="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2:16" x14ac:dyDescent="0.3">
      <c r="B13" s="1"/>
      <c r="C13" s="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2:16" ht="48.6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4" t="s">
        <v>11</v>
      </c>
      <c r="N14" s="4" t="s">
        <v>31</v>
      </c>
      <c r="O14" s="1"/>
      <c r="P14" s="1"/>
    </row>
    <row r="15" spans="2:16" ht="27.6" customHeight="1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4" t="s">
        <v>20</v>
      </c>
      <c r="N15" s="15">
        <v>2200</v>
      </c>
      <c r="O15" s="1"/>
      <c r="P15" s="1"/>
    </row>
    <row r="16" spans="2:16" ht="15" x14ac:dyDescent="0.3">
      <c r="B16" s="1"/>
      <c r="C16" s="9"/>
      <c r="D16" s="1"/>
      <c r="E16" s="1"/>
      <c r="F16" s="1"/>
      <c r="G16" s="1"/>
      <c r="H16" s="1"/>
      <c r="I16" s="1"/>
      <c r="J16" s="1"/>
      <c r="K16" s="1"/>
      <c r="L16" s="1"/>
      <c r="M16" s="14" t="s">
        <v>22</v>
      </c>
      <c r="N16" s="15">
        <v>1500</v>
      </c>
      <c r="O16" s="1"/>
      <c r="P16" s="1"/>
    </row>
    <row r="17" spans="2:16" ht="15" x14ac:dyDescent="0.3">
      <c r="B17" s="1"/>
      <c r="C17" s="9"/>
      <c r="D17" s="1"/>
      <c r="E17" s="1"/>
      <c r="F17" s="1"/>
      <c r="G17" s="1"/>
      <c r="H17" s="1"/>
      <c r="I17" s="1"/>
      <c r="J17" s="1"/>
      <c r="K17" s="1"/>
      <c r="L17" s="1"/>
      <c r="M17" s="14" t="s">
        <v>24</v>
      </c>
      <c r="N17" s="15">
        <v>3000</v>
      </c>
      <c r="O17" s="1"/>
      <c r="P17" s="1"/>
    </row>
    <row r="18" spans="2:16" ht="15" x14ac:dyDescent="0.3">
      <c r="B18" s="1"/>
      <c r="C18" s="9"/>
      <c r="D18" s="1"/>
      <c r="E18" s="1"/>
      <c r="F18" s="1"/>
      <c r="G18" s="1"/>
      <c r="H18" s="1"/>
      <c r="I18" s="1"/>
      <c r="J18" s="1"/>
      <c r="K18" s="1"/>
      <c r="L18" s="1"/>
      <c r="M18" s="14" t="s">
        <v>26</v>
      </c>
      <c r="N18" s="15">
        <v>1800</v>
      </c>
      <c r="O18" s="1"/>
      <c r="P18" s="1"/>
    </row>
    <row r="19" spans="2:16" ht="15" x14ac:dyDescent="0.3">
      <c r="B19" s="1"/>
      <c r="C19" s="9"/>
      <c r="D19" s="1"/>
      <c r="E19" s="1"/>
      <c r="F19" s="1"/>
      <c r="G19" s="1"/>
      <c r="H19" s="1"/>
      <c r="I19" s="1"/>
      <c r="J19" s="1"/>
      <c r="K19" s="1"/>
      <c r="L19" s="1"/>
      <c r="M19" s="14" t="s">
        <v>30</v>
      </c>
      <c r="N19" s="15">
        <v>5000</v>
      </c>
      <c r="O19" s="1"/>
      <c r="P19" s="1"/>
    </row>
    <row r="20" spans="2:16" x14ac:dyDescent="0.3">
      <c r="B20" s="1"/>
      <c r="C20" s="9"/>
      <c r="D20" s="1"/>
      <c r="E20" s="1"/>
      <c r="F20" s="1"/>
      <c r="G20" s="1"/>
      <c r="H20" s="1"/>
      <c r="I20" s="1"/>
      <c r="J20" s="1"/>
      <c r="K20" s="1"/>
      <c r="L20" s="1"/>
      <c r="O20" s="1"/>
      <c r="P20" s="1"/>
    </row>
    <row r="21" spans="2:16" ht="32.4" x14ac:dyDescent="0.3">
      <c r="B21" s="1"/>
      <c r="C21" s="16" t="s">
        <v>32</v>
      </c>
      <c r="D21" s="17">
        <v>0</v>
      </c>
      <c r="E21" s="18">
        <v>1000</v>
      </c>
      <c r="F21" s="18">
        <v>1500</v>
      </c>
      <c r="G21" s="18">
        <v>2000</v>
      </c>
      <c r="H21" s="18">
        <v>3000</v>
      </c>
      <c r="I21" s="18">
        <v>4000</v>
      </c>
      <c r="J21" s="18">
        <v>5000</v>
      </c>
      <c r="K21" s="18">
        <v>6000</v>
      </c>
      <c r="L21" s="1"/>
      <c r="M21" s="4" t="s">
        <v>18</v>
      </c>
      <c r="N21" s="4" t="s">
        <v>13</v>
      </c>
      <c r="O21" s="1"/>
      <c r="P21" s="1"/>
    </row>
    <row r="22" spans="2:16" ht="15.9" customHeight="1" x14ac:dyDescent="0.3">
      <c r="B22" s="1"/>
      <c r="C22" s="16" t="s">
        <v>16</v>
      </c>
      <c r="D22" s="19">
        <v>0.01</v>
      </c>
      <c r="E22" s="19">
        <v>0.02</v>
      </c>
      <c r="F22" s="19">
        <v>0.03</v>
      </c>
      <c r="G22" s="19">
        <v>0.04</v>
      </c>
      <c r="H22" s="19">
        <v>0.05</v>
      </c>
      <c r="I22" s="19">
        <v>0.06</v>
      </c>
      <c r="J22" s="19">
        <v>7.0000000000000007E-2</v>
      </c>
      <c r="K22" s="19">
        <v>0.08</v>
      </c>
      <c r="L22" s="1"/>
      <c r="M22" s="14">
        <v>0</v>
      </c>
      <c r="N22" s="33">
        <v>0</v>
      </c>
      <c r="O22" s="1"/>
      <c r="P22" s="1"/>
    </row>
    <row r="23" spans="2:16" ht="15" x14ac:dyDescent="0.3">
      <c r="B23" s="1"/>
      <c r="C23" s="9"/>
      <c r="D23" s="1"/>
      <c r="E23" s="1"/>
      <c r="F23" s="1"/>
      <c r="G23" s="1"/>
      <c r="H23" s="1"/>
      <c r="I23" s="1"/>
      <c r="J23" s="1"/>
      <c r="K23" s="1"/>
      <c r="L23" s="1"/>
      <c r="M23" s="14">
        <v>5</v>
      </c>
      <c r="N23" s="33">
        <v>1.2999999999999999E-2</v>
      </c>
      <c r="O23" s="1"/>
      <c r="P23" s="1"/>
    </row>
    <row r="24" spans="2:16" ht="15" x14ac:dyDescent="0.3">
      <c r="B24" s="1"/>
      <c r="C24" s="9"/>
      <c r="D24" s="1"/>
      <c r="E24" s="1"/>
      <c r="F24" s="1"/>
      <c r="G24" s="1"/>
      <c r="H24" s="1"/>
      <c r="I24" s="1"/>
      <c r="J24" s="1"/>
      <c r="K24" s="1"/>
      <c r="L24" s="1"/>
      <c r="M24" s="14">
        <v>10</v>
      </c>
      <c r="N24" s="33">
        <v>2.5999999999999999E-2</v>
      </c>
      <c r="O24" s="1"/>
      <c r="P24" s="1"/>
    </row>
    <row r="25" spans="2:16" ht="15" x14ac:dyDescent="0.3">
      <c r="B25" s="1"/>
      <c r="C25" s="9"/>
      <c r="D25" s="1"/>
      <c r="E25" s="1"/>
      <c r="F25" s="1"/>
      <c r="G25" s="1"/>
      <c r="H25" s="1"/>
      <c r="I25" s="1"/>
      <c r="J25" s="1"/>
      <c r="K25" s="1"/>
      <c r="L25" s="1"/>
      <c r="M25" s="14">
        <v>20</v>
      </c>
      <c r="N25" s="33">
        <v>3.9E-2</v>
      </c>
      <c r="O25" s="1"/>
      <c r="P25" s="1"/>
    </row>
    <row r="26" spans="2:16" ht="15" x14ac:dyDescent="0.3">
      <c r="B26" s="1"/>
      <c r="C26" s="9"/>
      <c r="D26" s="1"/>
      <c r="E26" s="1"/>
      <c r="F26" s="1"/>
      <c r="G26" s="1"/>
      <c r="H26" s="1"/>
      <c r="I26" s="1"/>
      <c r="J26" s="1"/>
      <c r="K26" s="1"/>
      <c r="L26" s="1"/>
      <c r="M26" s="14">
        <v>25</v>
      </c>
      <c r="N26" s="33">
        <v>5.1999999999999998E-2</v>
      </c>
      <c r="O26" s="1"/>
      <c r="P26" s="1"/>
    </row>
    <row r="27" spans="2:16" ht="15" x14ac:dyDescent="0.3">
      <c r="B27" s="1"/>
      <c r="C27" s="9"/>
      <c r="D27" s="1"/>
      <c r="E27" s="1"/>
      <c r="F27" s="1"/>
      <c r="G27" s="1"/>
      <c r="H27" s="1"/>
      <c r="I27" s="1"/>
      <c r="J27" s="1"/>
      <c r="K27" s="1"/>
      <c r="L27" s="1"/>
      <c r="M27" s="14">
        <v>30</v>
      </c>
      <c r="N27" s="33">
        <v>6.5000000000000002E-2</v>
      </c>
      <c r="O27" s="1"/>
      <c r="P27" s="1"/>
    </row>
    <row r="28" spans="2:16" ht="15" x14ac:dyDescent="0.3">
      <c r="B28" s="1"/>
      <c r="C28" s="9"/>
      <c r="D28" s="1"/>
      <c r="E28" s="1"/>
      <c r="F28" s="1"/>
      <c r="G28" s="1"/>
      <c r="H28" s="1"/>
      <c r="I28" s="1"/>
      <c r="J28" s="1"/>
      <c r="K28" s="1"/>
      <c r="L28" s="1"/>
      <c r="M28" s="14">
        <v>35</v>
      </c>
      <c r="N28" s="33">
        <v>7.8E-2</v>
      </c>
      <c r="O28" s="1"/>
      <c r="P28" s="1"/>
    </row>
    <row r="29" spans="2:16" ht="15" x14ac:dyDescent="0.3">
      <c r="B29" s="1"/>
      <c r="C29" s="9"/>
      <c r="D29" s="1"/>
      <c r="E29" s="1"/>
      <c r="F29" s="1"/>
      <c r="G29" s="1"/>
      <c r="H29" s="1"/>
      <c r="I29" s="1"/>
      <c r="J29" s="1"/>
      <c r="K29" s="1"/>
      <c r="L29" s="1"/>
      <c r="M29" s="14">
        <v>40</v>
      </c>
      <c r="N29" s="33">
        <v>9.0999999999999998E-2</v>
      </c>
      <c r="O29" s="1"/>
      <c r="P29" s="1"/>
    </row>
    <row r="30" spans="2:16" ht="15" x14ac:dyDescent="0.3">
      <c r="B30" s="1"/>
      <c r="C30" s="9"/>
      <c r="D30" s="1"/>
      <c r="E30" s="1"/>
      <c r="F30" s="1"/>
      <c r="G30" s="1"/>
      <c r="H30" s="1"/>
      <c r="I30" s="1"/>
      <c r="J30" s="1"/>
      <c r="K30" s="1"/>
      <c r="L30" s="1"/>
      <c r="M30" s="14">
        <v>45</v>
      </c>
      <c r="N30" s="33">
        <v>0.104</v>
      </c>
      <c r="O30" s="1"/>
      <c r="P30" s="1"/>
    </row>
    <row r="31" spans="2:16" x14ac:dyDescent="0.3">
      <c r="B31" s="1"/>
      <c r="C31" s="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2:16" ht="31.5" customHeight="1" x14ac:dyDescent="0.3">
      <c r="B32" s="1"/>
      <c r="C32" s="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31.5" customHeight="1" x14ac:dyDescent="0.3"/>
  </sheetData>
  <mergeCells count="1">
    <mergeCell ref="C2:P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89A8-93E2-4C4F-8220-A837AB29BB5D}">
  <sheetPr>
    <tabColor theme="4" tint="0.79998168889431442"/>
  </sheetPr>
  <dimension ref="B2:K15"/>
  <sheetViews>
    <sheetView showGridLines="0" zoomScaleNormal="100" workbookViewId="0">
      <selection activeCell="E5" sqref="E5"/>
    </sheetView>
  </sheetViews>
  <sheetFormatPr defaultColWidth="9.109375" defaultRowHeight="14.4" x14ac:dyDescent="0.3"/>
  <cols>
    <col min="1" max="1" width="2.6640625" style="24" customWidth="1"/>
    <col min="2" max="2" width="3" style="24" customWidth="1"/>
    <col min="3" max="3" width="26.44140625" style="24" customWidth="1"/>
    <col min="4" max="4" width="19" style="24" bestFit="1" customWidth="1"/>
    <col min="5" max="5" width="11" style="24" customWidth="1"/>
    <col min="6" max="6" width="12" style="24" bestFit="1" customWidth="1"/>
    <col min="7" max="7" width="15" style="24" customWidth="1"/>
    <col min="8" max="8" width="3.5546875" style="24" customWidth="1"/>
    <col min="9" max="16384" width="9.109375" style="24"/>
  </cols>
  <sheetData>
    <row r="2" spans="2:11" ht="30" customHeight="1" x14ac:dyDescent="0.3">
      <c r="B2" s="21"/>
      <c r="C2" s="22" t="s">
        <v>33</v>
      </c>
      <c r="D2" s="23"/>
      <c r="E2" s="23"/>
      <c r="F2" s="23"/>
      <c r="G2" s="23"/>
      <c r="H2" s="21"/>
    </row>
    <row r="3" spans="2:11" x14ac:dyDescent="0.3">
      <c r="B3" s="25"/>
      <c r="C3" s="25"/>
      <c r="D3" s="25"/>
      <c r="E3" s="25"/>
      <c r="F3" s="25"/>
      <c r="G3" s="25"/>
      <c r="H3" s="25"/>
    </row>
    <row r="4" spans="2:11" s="27" customFormat="1" ht="31.5" customHeight="1" thickBot="1" x14ac:dyDescent="0.35">
      <c r="B4" s="26"/>
      <c r="C4" s="4" t="s">
        <v>10</v>
      </c>
      <c r="D4" s="4" t="s">
        <v>34</v>
      </c>
      <c r="E4" s="4" t="s">
        <v>35</v>
      </c>
      <c r="F4" s="4" t="s">
        <v>36</v>
      </c>
      <c r="G4" s="4" t="s">
        <v>37</v>
      </c>
      <c r="H4" s="26"/>
      <c r="K4" s="27" t="s">
        <v>38</v>
      </c>
    </row>
    <row r="5" spans="2:11" s="27" customFormat="1" ht="28.5" customHeight="1" thickBot="1" x14ac:dyDescent="0.35">
      <c r="B5" s="26"/>
      <c r="C5" s="28" t="s">
        <v>40</v>
      </c>
      <c r="D5" s="28">
        <f>VLOOKUP($C$5,$C$8:$G$14,2,FALSE)</f>
        <v>28888</v>
      </c>
      <c r="E5" s="39" t="str">
        <f>VLOOKUP($C$5,$C$8:$G$14,3,FALSE)</f>
        <v>M</v>
      </c>
      <c r="F5" s="39">
        <f>VLOOKUP($C$5,$C$8:$G$14,4,FALSE)</f>
        <v>213654987</v>
      </c>
      <c r="G5" s="38">
        <f>VLOOKUP($C$5,$C$8:$G$14,5,FALSE)</f>
        <v>1550</v>
      </c>
      <c r="H5" s="26"/>
      <c r="K5" s="27" t="s">
        <v>39</v>
      </c>
    </row>
    <row r="6" spans="2:11" s="30" customFormat="1" ht="15.75" customHeight="1" x14ac:dyDescent="0.3">
      <c r="B6" s="29"/>
      <c r="C6" s="29"/>
      <c r="D6" s="29"/>
      <c r="E6" s="29"/>
      <c r="F6" s="29"/>
      <c r="G6" s="29"/>
      <c r="H6" s="29"/>
    </row>
    <row r="7" spans="2:11" s="27" customFormat="1" ht="30.75" customHeight="1" x14ac:dyDescent="0.3">
      <c r="B7" s="26"/>
      <c r="C7" s="4" t="s">
        <v>10</v>
      </c>
      <c r="D7" s="4" t="s">
        <v>34</v>
      </c>
      <c r="E7" s="4" t="s">
        <v>35</v>
      </c>
      <c r="F7" s="4" t="s">
        <v>36</v>
      </c>
      <c r="G7" s="4" t="s">
        <v>37</v>
      </c>
      <c r="H7" s="26"/>
    </row>
    <row r="8" spans="2:11" s="27" customFormat="1" ht="27.75" customHeight="1" x14ac:dyDescent="0.3">
      <c r="B8" s="26"/>
      <c r="C8" s="5" t="s">
        <v>40</v>
      </c>
      <c r="D8" s="32">
        <v>28888</v>
      </c>
      <c r="E8" s="5" t="s">
        <v>41</v>
      </c>
      <c r="F8" s="5">
        <v>213654987</v>
      </c>
      <c r="G8" s="34">
        <v>1550</v>
      </c>
      <c r="H8" s="26"/>
    </row>
    <row r="9" spans="2:11" s="27" customFormat="1" ht="27.75" customHeight="1" x14ac:dyDescent="0.3">
      <c r="B9" s="26"/>
      <c r="C9" s="5" t="s">
        <v>42</v>
      </c>
      <c r="D9" s="32">
        <v>26620</v>
      </c>
      <c r="E9" s="5" t="s">
        <v>43</v>
      </c>
      <c r="F9" s="5">
        <v>214987523</v>
      </c>
      <c r="G9" s="34">
        <v>2200</v>
      </c>
      <c r="H9" s="26"/>
    </row>
    <row r="10" spans="2:11" s="27" customFormat="1" ht="27.75" customHeight="1" x14ac:dyDescent="0.3">
      <c r="B10" s="26"/>
      <c r="C10" s="5" t="s">
        <v>44</v>
      </c>
      <c r="D10" s="32">
        <v>27639</v>
      </c>
      <c r="E10" s="5" t="s">
        <v>41</v>
      </c>
      <c r="F10" s="5">
        <v>219741258</v>
      </c>
      <c r="G10" s="34">
        <v>1450</v>
      </c>
      <c r="H10" s="26"/>
    </row>
    <row r="11" spans="2:11" s="27" customFormat="1" ht="27.75" customHeight="1" x14ac:dyDescent="0.3">
      <c r="B11" s="26"/>
      <c r="C11" s="5" t="s">
        <v>45</v>
      </c>
      <c r="D11" s="32">
        <v>27466</v>
      </c>
      <c r="E11" s="5" t="s">
        <v>41</v>
      </c>
      <c r="F11" s="5">
        <v>219528745</v>
      </c>
      <c r="G11" s="34">
        <v>3775</v>
      </c>
      <c r="H11" s="26"/>
    </row>
    <row r="12" spans="2:11" s="27" customFormat="1" ht="27.75" customHeight="1" x14ac:dyDescent="0.3">
      <c r="B12" s="26"/>
      <c r="C12" s="5" t="s">
        <v>46</v>
      </c>
      <c r="D12" s="32">
        <v>27496</v>
      </c>
      <c r="E12" s="5" t="s">
        <v>43</v>
      </c>
      <c r="F12" s="5">
        <v>216987411</v>
      </c>
      <c r="G12" s="34">
        <v>2450</v>
      </c>
      <c r="H12" s="26"/>
    </row>
    <row r="13" spans="2:11" s="27" customFormat="1" ht="27.75" customHeight="1" x14ac:dyDescent="0.3">
      <c r="B13" s="26"/>
      <c r="C13" s="5" t="s">
        <v>47</v>
      </c>
      <c r="D13" s="32">
        <v>28503</v>
      </c>
      <c r="E13" s="5" t="s">
        <v>43</v>
      </c>
      <c r="F13" s="5">
        <v>217889965</v>
      </c>
      <c r="G13" s="34">
        <v>1100</v>
      </c>
      <c r="H13" s="26"/>
    </row>
    <row r="14" spans="2:11" s="27" customFormat="1" ht="27.75" customHeight="1" x14ac:dyDescent="0.3">
      <c r="B14" s="26"/>
      <c r="C14" s="5" t="s">
        <v>48</v>
      </c>
      <c r="D14" s="32">
        <v>25721</v>
      </c>
      <c r="E14" s="5" t="s">
        <v>43</v>
      </c>
      <c r="F14" s="5">
        <v>215897523</v>
      </c>
      <c r="G14" s="34">
        <v>3457</v>
      </c>
      <c r="H14" s="26"/>
    </row>
    <row r="15" spans="2:11" x14ac:dyDescent="0.3">
      <c r="B15" s="25"/>
      <c r="C15" s="25"/>
      <c r="D15" s="31"/>
      <c r="E15" s="31"/>
      <c r="F15" s="31"/>
      <c r="G15" s="25"/>
      <c r="H15" s="25"/>
    </row>
  </sheetData>
  <dataValidations count="1">
    <dataValidation type="list" allowBlank="1" showInputMessage="1" showErrorMessage="1" sqref="C5" xr:uid="{EBD89E5A-D494-49B2-9097-A7C1DE877138}">
      <formula1>C8:C14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ED9C6-4715-43D9-BE24-703FC999BC67}">
  <sheetPr>
    <tabColor theme="5" tint="0.79998168889431442"/>
  </sheetPr>
  <dimension ref="B2:H15"/>
  <sheetViews>
    <sheetView showGridLines="0" tabSelected="1" zoomScale="85" zoomScaleNormal="85" workbookViewId="0">
      <selection activeCell="C5" sqref="C5"/>
    </sheetView>
  </sheetViews>
  <sheetFormatPr defaultColWidth="9.109375" defaultRowHeight="14.4" x14ac:dyDescent="0.3"/>
  <cols>
    <col min="1" max="1" width="2.6640625" style="24" customWidth="1"/>
    <col min="2" max="2" width="3" style="24" customWidth="1"/>
    <col min="3" max="3" width="26.44140625" style="24" customWidth="1"/>
    <col min="4" max="5" width="22.77734375" style="24" bestFit="1" customWidth="1"/>
    <col min="6" max="6" width="12.88671875" style="24" bestFit="1" customWidth="1"/>
    <col min="7" max="7" width="12.21875" style="24" customWidth="1"/>
    <col min="8" max="8" width="7.6640625" style="24" customWidth="1"/>
    <col min="9" max="16384" width="9.109375" style="24"/>
  </cols>
  <sheetData>
    <row r="2" spans="2:8" ht="30" customHeight="1" x14ac:dyDescent="0.3">
      <c r="B2" s="21"/>
      <c r="C2" s="22" t="s">
        <v>49</v>
      </c>
      <c r="D2" s="23"/>
      <c r="E2" s="23"/>
      <c r="F2" s="23"/>
      <c r="G2" s="23"/>
      <c r="H2" s="21"/>
    </row>
    <row r="3" spans="2:8" x14ac:dyDescent="0.3">
      <c r="B3" s="25"/>
      <c r="C3" s="25"/>
      <c r="D3" s="25"/>
      <c r="E3" s="25"/>
      <c r="F3" s="25"/>
      <c r="G3" s="25"/>
      <c r="H3" s="25"/>
    </row>
    <row r="4" spans="2:8" s="27" customFormat="1" ht="31.5" customHeight="1" thickBot="1" x14ac:dyDescent="0.35">
      <c r="B4" s="26"/>
      <c r="C4" s="4" t="s">
        <v>10</v>
      </c>
      <c r="D4" s="4" t="s">
        <v>34</v>
      </c>
      <c r="E4" s="4" t="s">
        <v>35</v>
      </c>
      <c r="F4" s="4" t="s">
        <v>36</v>
      </c>
      <c r="G4" s="4" t="s">
        <v>37</v>
      </c>
      <c r="H4" s="26"/>
    </row>
    <row r="5" spans="2:8" s="27" customFormat="1" ht="28.5" customHeight="1" thickBot="1" x14ac:dyDescent="0.35">
      <c r="B5" s="26"/>
      <c r="C5" s="28" t="s">
        <v>40</v>
      </c>
      <c r="D5" s="28">
        <f>INDEX($C$7:$G$14,MATCH($C$5,$C$7:$C$14,0),MATCH(D$4,$C$7:$G$7,0))</f>
        <v>28888</v>
      </c>
      <c r="E5" s="42" t="str">
        <f>INDEX($C$7:$G$14,MATCH($C$5,$C$7:$C$14,0),MATCH(E$4,$C$7:$G$7,0))</f>
        <v>M</v>
      </c>
      <c r="F5" s="42">
        <f>INDEX($C$7:$G$14,MATCH($C$5,$C$7:$C$14,0),MATCH(F$4,$C$7:$G$7,0))</f>
        <v>213654987</v>
      </c>
      <c r="G5" s="40">
        <f>INDEX($C$7:$G$14,MATCH($C$5,$C$7:$C$14,0),MATCH(G$4,$C$7:$G$7,0))</f>
        <v>1550</v>
      </c>
      <c r="H5" s="26"/>
    </row>
    <row r="6" spans="2:8" s="30" customFormat="1" ht="15.75" customHeight="1" x14ac:dyDescent="0.3">
      <c r="B6" s="29"/>
      <c r="C6" s="29"/>
      <c r="D6" s="29"/>
      <c r="E6" s="29"/>
      <c r="F6" s="29"/>
      <c r="G6" s="29"/>
      <c r="H6" s="29"/>
    </row>
    <row r="7" spans="2:8" s="27" customFormat="1" ht="30.75" customHeight="1" x14ac:dyDescent="0.3">
      <c r="B7" s="26"/>
      <c r="C7" s="4" t="s">
        <v>10</v>
      </c>
      <c r="D7" s="4" t="s">
        <v>36</v>
      </c>
      <c r="E7" s="4" t="s">
        <v>34</v>
      </c>
      <c r="F7" s="4" t="s">
        <v>37</v>
      </c>
      <c r="G7" s="4" t="s">
        <v>35</v>
      </c>
      <c r="H7" s="26"/>
    </row>
    <row r="8" spans="2:8" s="27" customFormat="1" ht="27.75" customHeight="1" x14ac:dyDescent="0.3">
      <c r="B8" s="26"/>
      <c r="C8" s="5" t="s">
        <v>40</v>
      </c>
      <c r="D8" s="5">
        <v>213654987</v>
      </c>
      <c r="E8" s="32">
        <v>28888</v>
      </c>
      <c r="F8" s="35">
        <v>1550</v>
      </c>
      <c r="G8" s="5" t="s">
        <v>41</v>
      </c>
      <c r="H8" s="26"/>
    </row>
    <row r="9" spans="2:8" s="27" customFormat="1" ht="27.75" customHeight="1" x14ac:dyDescent="0.3">
      <c r="B9" s="26"/>
      <c r="C9" s="5" t="s">
        <v>42</v>
      </c>
      <c r="D9" s="5">
        <v>214987523</v>
      </c>
      <c r="E9" s="32">
        <v>26620</v>
      </c>
      <c r="F9" s="35">
        <v>2200</v>
      </c>
      <c r="G9" s="5" t="s">
        <v>43</v>
      </c>
      <c r="H9" s="26"/>
    </row>
    <row r="10" spans="2:8" s="27" customFormat="1" ht="27.75" customHeight="1" x14ac:dyDescent="0.3">
      <c r="B10" s="26"/>
      <c r="C10" s="5" t="s">
        <v>44</v>
      </c>
      <c r="D10" s="5">
        <v>219741258</v>
      </c>
      <c r="E10" s="32">
        <v>27639</v>
      </c>
      <c r="F10" s="35">
        <v>1450</v>
      </c>
      <c r="G10" s="5" t="s">
        <v>41</v>
      </c>
      <c r="H10" s="26"/>
    </row>
    <row r="11" spans="2:8" s="27" customFormat="1" ht="27.75" customHeight="1" x14ac:dyDescent="0.3">
      <c r="B11" s="26"/>
      <c r="C11" s="5" t="s">
        <v>45</v>
      </c>
      <c r="D11" s="5">
        <v>219528745</v>
      </c>
      <c r="E11" s="32">
        <v>27466</v>
      </c>
      <c r="F11" s="35">
        <v>3775</v>
      </c>
      <c r="G11" s="5" t="s">
        <v>41</v>
      </c>
      <c r="H11" s="26"/>
    </row>
    <row r="12" spans="2:8" s="27" customFormat="1" ht="27.75" customHeight="1" x14ac:dyDescent="0.3">
      <c r="B12" s="26"/>
      <c r="C12" s="5" t="s">
        <v>46</v>
      </c>
      <c r="D12" s="5">
        <v>216987411</v>
      </c>
      <c r="E12" s="32">
        <v>27496</v>
      </c>
      <c r="F12" s="35">
        <v>2450</v>
      </c>
      <c r="G12" s="5" t="s">
        <v>43</v>
      </c>
      <c r="H12" s="26"/>
    </row>
    <row r="13" spans="2:8" s="27" customFormat="1" ht="27.75" customHeight="1" x14ac:dyDescent="0.3">
      <c r="B13" s="26"/>
      <c r="C13" s="5" t="s">
        <v>47</v>
      </c>
      <c r="D13" s="5">
        <v>217889965</v>
      </c>
      <c r="E13" s="32">
        <v>28503</v>
      </c>
      <c r="F13" s="35">
        <v>1100</v>
      </c>
      <c r="G13" s="5" t="s">
        <v>43</v>
      </c>
      <c r="H13" s="26"/>
    </row>
    <row r="14" spans="2:8" s="27" customFormat="1" ht="27.75" customHeight="1" x14ac:dyDescent="0.3">
      <c r="B14" s="26"/>
      <c r="C14" s="5" t="s">
        <v>48</v>
      </c>
      <c r="D14" s="5">
        <v>215897523</v>
      </c>
      <c r="E14" s="32">
        <v>25721</v>
      </c>
      <c r="F14" s="35">
        <v>3457</v>
      </c>
      <c r="G14" s="5" t="s">
        <v>43</v>
      </c>
      <c r="H14" s="26"/>
    </row>
    <row r="15" spans="2:8" x14ac:dyDescent="0.3">
      <c r="B15" s="25"/>
      <c r="C15" s="25"/>
      <c r="D15" s="31"/>
      <c r="E15" s="31"/>
      <c r="F15" s="31"/>
      <c r="G15" s="25"/>
      <c r="H15" s="25"/>
    </row>
  </sheetData>
  <dataValidations count="1">
    <dataValidation type="list" allowBlank="1" showInputMessage="1" showErrorMessage="1" sqref="C5" xr:uid="{E87603F7-0042-4F44-B92C-9E6C9034FE18}">
      <formula1>C8:C14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2F45-5F10-4CB5-95E0-F53CF3BF7362}">
  <sheetPr>
    <tabColor theme="5" tint="0.79998168889431442"/>
  </sheetPr>
  <dimension ref="B2:H15"/>
  <sheetViews>
    <sheetView showGridLines="0" topLeftCell="A2" workbookViewId="0">
      <selection activeCell="G5" sqref="G5"/>
    </sheetView>
  </sheetViews>
  <sheetFormatPr defaultColWidth="9.109375" defaultRowHeight="14.4" x14ac:dyDescent="0.3"/>
  <cols>
    <col min="1" max="1" width="2.6640625" style="24" customWidth="1"/>
    <col min="2" max="2" width="3" style="24" customWidth="1"/>
    <col min="3" max="3" width="26.44140625" style="24" customWidth="1"/>
    <col min="4" max="5" width="22.77734375" style="24" bestFit="1" customWidth="1"/>
    <col min="6" max="6" width="12.88671875" style="24" bestFit="1" customWidth="1"/>
    <col min="7" max="7" width="10.44140625" style="24" bestFit="1" customWidth="1"/>
    <col min="8" max="8" width="7.6640625" style="24" customWidth="1"/>
    <col min="9" max="16384" width="9.109375" style="24"/>
  </cols>
  <sheetData>
    <row r="2" spans="2:8" ht="30" customHeight="1" x14ac:dyDescent="0.3">
      <c r="B2" s="21"/>
      <c r="C2" s="22" t="s">
        <v>68</v>
      </c>
      <c r="D2" s="23"/>
      <c r="E2" s="23"/>
      <c r="F2" s="23"/>
      <c r="G2" s="23"/>
      <c r="H2" s="21"/>
    </row>
    <row r="3" spans="2:8" x14ac:dyDescent="0.3">
      <c r="B3" s="25"/>
      <c r="C3" s="25"/>
      <c r="D3" s="25"/>
      <c r="E3" s="25"/>
      <c r="F3" s="25"/>
      <c r="G3" s="25"/>
      <c r="H3" s="25"/>
    </row>
    <row r="4" spans="2:8" s="27" customFormat="1" ht="31.5" customHeight="1" thickBot="1" x14ac:dyDescent="0.35">
      <c r="B4" s="26"/>
      <c r="C4" s="4" t="s">
        <v>10</v>
      </c>
      <c r="D4" s="4" t="s">
        <v>34</v>
      </c>
      <c r="E4" s="4" t="s">
        <v>35</v>
      </c>
      <c r="F4" s="4" t="s">
        <v>36</v>
      </c>
      <c r="G4" s="4" t="s">
        <v>37</v>
      </c>
      <c r="H4" s="26"/>
    </row>
    <row r="5" spans="2:8" s="27" customFormat="1" ht="28.5" customHeight="1" thickBot="1" x14ac:dyDescent="0.35">
      <c r="B5" s="26"/>
      <c r="C5" s="28" t="s">
        <v>42</v>
      </c>
      <c r="D5" s="28">
        <f>_xlfn.XLOOKUP($C$5,$C$8:$C$14,$E$8:$E$14)</f>
        <v>26620</v>
      </c>
      <c r="E5" s="39" t="str">
        <f>_xlfn.XLOOKUP($C$5,$C$8:$C$14,$G$8:$G$14)</f>
        <v>F</v>
      </c>
      <c r="F5" s="39">
        <f>_xlfn.XLOOKUP($C$5,$C$8:$C$14,$D$8:$D$14)</f>
        <v>214987523</v>
      </c>
      <c r="G5" s="40">
        <f>_xlfn.XLOOKUP($C$5,$C$8:$C$14,$F$8:$F$14)</f>
        <v>2200</v>
      </c>
      <c r="H5" s="26"/>
    </row>
    <row r="6" spans="2:8" s="30" customFormat="1" ht="15.75" customHeight="1" x14ac:dyDescent="0.3">
      <c r="B6" s="29"/>
      <c r="C6" s="29"/>
      <c r="D6" s="29"/>
      <c r="E6" s="29"/>
      <c r="F6" s="29"/>
      <c r="G6" s="29"/>
      <c r="H6" s="29"/>
    </row>
    <row r="7" spans="2:8" s="27" customFormat="1" ht="30.75" customHeight="1" x14ac:dyDescent="0.3">
      <c r="B7" s="26"/>
      <c r="C7" s="4" t="s">
        <v>10</v>
      </c>
      <c r="D7" s="4" t="s">
        <v>36</v>
      </c>
      <c r="E7" s="4" t="s">
        <v>34</v>
      </c>
      <c r="F7" s="4" t="s">
        <v>37</v>
      </c>
      <c r="G7" s="4" t="s">
        <v>35</v>
      </c>
      <c r="H7" s="26"/>
    </row>
    <row r="8" spans="2:8" s="27" customFormat="1" ht="27.75" customHeight="1" x14ac:dyDescent="0.3">
      <c r="B8" s="26"/>
      <c r="C8" s="5" t="s">
        <v>40</v>
      </c>
      <c r="D8" s="5">
        <v>213654987</v>
      </c>
      <c r="E8" s="32">
        <v>28888</v>
      </c>
      <c r="F8" s="35">
        <v>1550</v>
      </c>
      <c r="G8" s="5" t="s">
        <v>41</v>
      </c>
      <c r="H8" s="26"/>
    </row>
    <row r="9" spans="2:8" s="27" customFormat="1" ht="27.75" customHeight="1" x14ac:dyDescent="0.3">
      <c r="B9" s="26"/>
      <c r="C9" s="5" t="s">
        <v>42</v>
      </c>
      <c r="D9" s="5">
        <v>214987523</v>
      </c>
      <c r="E9" s="32">
        <v>26620</v>
      </c>
      <c r="F9" s="35">
        <v>2200</v>
      </c>
      <c r="G9" s="5" t="s">
        <v>43</v>
      </c>
      <c r="H9" s="26"/>
    </row>
    <row r="10" spans="2:8" s="27" customFormat="1" ht="27.75" customHeight="1" x14ac:dyDescent="0.3">
      <c r="B10" s="26"/>
      <c r="C10" s="5" t="s">
        <v>44</v>
      </c>
      <c r="D10" s="5">
        <v>219741258</v>
      </c>
      <c r="E10" s="32">
        <v>27639</v>
      </c>
      <c r="F10" s="35">
        <v>1450</v>
      </c>
      <c r="G10" s="5" t="s">
        <v>41</v>
      </c>
      <c r="H10" s="26"/>
    </row>
    <row r="11" spans="2:8" s="27" customFormat="1" ht="27.75" customHeight="1" x14ac:dyDescent="0.3">
      <c r="B11" s="26"/>
      <c r="C11" s="5" t="s">
        <v>45</v>
      </c>
      <c r="D11" s="5">
        <v>219528745</v>
      </c>
      <c r="E11" s="32">
        <v>27466</v>
      </c>
      <c r="F11" s="35">
        <v>3775</v>
      </c>
      <c r="G11" s="5" t="s">
        <v>41</v>
      </c>
      <c r="H11" s="26"/>
    </row>
    <row r="12" spans="2:8" s="27" customFormat="1" ht="27.75" customHeight="1" x14ac:dyDescent="0.3">
      <c r="B12" s="26"/>
      <c r="C12" s="5" t="s">
        <v>46</v>
      </c>
      <c r="D12" s="5">
        <v>216987411</v>
      </c>
      <c r="E12" s="32">
        <v>27496</v>
      </c>
      <c r="F12" s="35">
        <v>2450</v>
      </c>
      <c r="G12" s="5" t="s">
        <v>43</v>
      </c>
      <c r="H12" s="26"/>
    </row>
    <row r="13" spans="2:8" s="27" customFormat="1" ht="27.75" customHeight="1" x14ac:dyDescent="0.3">
      <c r="B13" s="26"/>
      <c r="C13" s="5" t="s">
        <v>47</v>
      </c>
      <c r="D13" s="5">
        <v>217889965</v>
      </c>
      <c r="E13" s="32">
        <v>28503</v>
      </c>
      <c r="F13" s="35">
        <v>1100</v>
      </c>
      <c r="G13" s="5" t="s">
        <v>43</v>
      </c>
      <c r="H13" s="26"/>
    </row>
    <row r="14" spans="2:8" s="27" customFormat="1" ht="27.75" customHeight="1" x14ac:dyDescent="0.3">
      <c r="B14" s="26"/>
      <c r="C14" s="5" t="s">
        <v>48</v>
      </c>
      <c r="D14" s="5">
        <v>215897523</v>
      </c>
      <c r="E14" s="32">
        <v>25721</v>
      </c>
      <c r="F14" s="35">
        <v>3457</v>
      </c>
      <c r="G14" s="5" t="s">
        <v>43</v>
      </c>
      <c r="H14" s="26"/>
    </row>
    <row r="15" spans="2:8" x14ac:dyDescent="0.3">
      <c r="B15" s="25"/>
      <c r="C15" s="25"/>
      <c r="D15" s="31"/>
      <c r="E15" s="31"/>
      <c r="F15" s="31"/>
      <c r="G15" s="25"/>
      <c r="H15" s="25"/>
    </row>
  </sheetData>
  <dataValidations count="1">
    <dataValidation type="list" allowBlank="1" showInputMessage="1" showErrorMessage="1" sqref="C5" xr:uid="{F39CACD2-4A4D-430E-A805-6642A55B9FEF}">
      <formula1>C8:C14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B842600A0E964EBE88117445EBED7E" ma:contentTypeVersion="3" ma:contentTypeDescription="Criar um novo documento." ma:contentTypeScope="" ma:versionID="a725027eae200caf851bbd21b1eec2ae">
  <xsd:schema xmlns:xsd="http://www.w3.org/2001/XMLSchema" xmlns:xs="http://www.w3.org/2001/XMLSchema" xmlns:p="http://schemas.microsoft.com/office/2006/metadata/properties" xmlns:ns2="6c96d2b1-6fa3-4456-a494-3ce8b45afc84" targetNamespace="http://schemas.microsoft.com/office/2006/metadata/properties" ma:root="true" ma:fieldsID="6ff97e10b6262e29b4dd2ec9a7639a85" ns2:_="">
    <xsd:import namespace="6c96d2b1-6fa3-4456-a494-3ce8b45afc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6d2b1-6fa3-4456-a494-3ce8b45af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8296A2-F723-4D5F-8F47-4372A460EE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450D09-04CE-4C3A-AB80-2D0569F013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9A561AF-37AD-4930-8BF8-32F4806912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96d2b1-6fa3-4456-a494-3ce8b45afc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Exercicio 1</vt:lpstr>
      <vt:lpstr>Exercicio 2</vt:lpstr>
      <vt:lpstr>Exercicio 3</vt:lpstr>
      <vt:lpstr>Exercício 4</vt:lpstr>
      <vt:lpstr>Exercício 5</vt:lpstr>
      <vt:lpstr>Exercício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Pinho</dc:creator>
  <cp:lastModifiedBy>Paulo Carvalho</cp:lastModifiedBy>
  <dcterms:created xsi:type="dcterms:W3CDTF">2015-06-05T18:17:20Z</dcterms:created>
  <dcterms:modified xsi:type="dcterms:W3CDTF">2025-10-02T20:22:06Z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0x0101006CB842600A0E964EBE88117445EBED7E</vt:lpwstr>
  </property>
</Properties>
</file>