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gca\Desktop\Code\Aulas\AI\aula_18_09\"/>
    </mc:Choice>
  </mc:AlternateContent>
  <xr:revisionPtr revIDLastSave="0" documentId="13_ncr:1_{6EB82FE7-446A-41F6-B0DD-CC032E104D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.01" sheetId="1" r:id="rId1"/>
    <sheet name="Ex.02" sheetId="5" r:id="rId2"/>
    <sheet name="Ex.03" sheetId="2" r:id="rId3"/>
    <sheet name="Ex.04" sheetId="11" r:id="rId4"/>
  </sheets>
  <definedNames>
    <definedName name="_xlnm._FilterDatabase" localSheetId="0" hidden="1">Ex.01!$A$3:$D$9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C13" i="5"/>
  <c r="F20" i="2"/>
  <c r="F8" i="2"/>
  <c r="F10" i="2"/>
  <c r="F11" i="2"/>
  <c r="F3" i="2"/>
  <c r="F6" i="2"/>
  <c r="F14" i="2"/>
  <c r="F4" i="2"/>
  <c r="F7" i="2"/>
  <c r="F15" i="2"/>
  <c r="F16" i="2"/>
  <c r="F23" i="2"/>
  <c r="F22" i="2"/>
  <c r="F12" i="2"/>
  <c r="F19" i="2"/>
  <c r="F24" i="2"/>
  <c r="F9" i="2"/>
  <c r="F5" i="2"/>
  <c r="F13" i="2"/>
  <c r="F17" i="2"/>
  <c r="F18" i="2"/>
  <c r="D20" i="2"/>
  <c r="D8" i="2"/>
  <c r="D10" i="2"/>
  <c r="D11" i="2"/>
  <c r="D3" i="2"/>
  <c r="D6" i="2"/>
  <c r="D21" i="2"/>
  <c r="F21" i="2" s="1"/>
  <c r="D14" i="2"/>
  <c r="D4" i="2"/>
  <c r="D7" i="2"/>
  <c r="D15" i="2"/>
  <c r="D16" i="2"/>
  <c r="D23" i="2"/>
  <c r="D22" i="2"/>
  <c r="D12" i="2"/>
  <c r="D19" i="2"/>
  <c r="D24" i="2"/>
  <c r="D9" i="2"/>
  <c r="D2" i="2"/>
  <c r="F2" i="2" s="1"/>
  <c r="D5" i="2"/>
  <c r="D13" i="2"/>
  <c r="D17" i="2"/>
  <c r="D18" i="2"/>
  <c r="N11" i="2"/>
  <c r="N12" i="2"/>
  <c r="C10" i="5"/>
  <c r="C9" i="5"/>
  <c r="C8" i="5"/>
  <c r="C7" i="5"/>
  <c r="C6" i="5"/>
  <c r="C5" i="5"/>
  <c r="C4" i="5"/>
  <c r="I15" i="11"/>
  <c r="I13" i="11"/>
  <c r="I11" i="11"/>
  <c r="I9" i="11"/>
  <c r="I8" i="11"/>
  <c r="D4" i="1"/>
  <c r="D11" i="1"/>
  <c r="D5" i="1"/>
  <c r="D6" i="1"/>
  <c r="D7" i="1"/>
  <c r="D8" i="1"/>
  <c r="D9" i="1"/>
  <c r="N9" i="2" l="1"/>
  <c r="N8" i="2"/>
  <c r="N7" i="2"/>
  <c r="N3" i="2"/>
  <c r="N4" i="2"/>
  <c r="N5" i="2"/>
  <c r="C12" i="5"/>
</calcChain>
</file>

<file path=xl/sharedStrings.xml><?xml version="1.0" encoding="utf-8"?>
<sst xmlns="http://schemas.openxmlformats.org/spreadsheetml/2006/main" count="125" uniqueCount="102">
  <si>
    <t>Carro</t>
  </si>
  <si>
    <t>KM's</t>
  </si>
  <si>
    <t>Litros</t>
  </si>
  <si>
    <t>Consumo aos 100 Km</t>
  </si>
  <si>
    <t>Ford</t>
  </si>
  <si>
    <t>PSA</t>
  </si>
  <si>
    <t>Renault</t>
  </si>
  <si>
    <t>Mazda</t>
  </si>
  <si>
    <t>Fiat</t>
  </si>
  <si>
    <t>BMW</t>
  </si>
  <si>
    <t>Média</t>
  </si>
  <si>
    <t>Data</t>
  </si>
  <si>
    <t>Objetivo</t>
  </si>
  <si>
    <t>peças / dia</t>
  </si>
  <si>
    <t>Peças</t>
  </si>
  <si>
    <t>Percentagem</t>
  </si>
  <si>
    <t>Sem Produção</t>
  </si>
  <si>
    <t>Dias Produtivos</t>
  </si>
  <si>
    <t>Marca</t>
  </si>
  <si>
    <t>Modelo</t>
  </si>
  <si>
    <t>Preço</t>
  </si>
  <si>
    <t>Desconto do fabricante</t>
  </si>
  <si>
    <t>Alfa</t>
  </si>
  <si>
    <t>jj</t>
  </si>
  <si>
    <t>Beta</t>
  </si>
  <si>
    <t>ll</t>
  </si>
  <si>
    <t>Capa</t>
  </si>
  <si>
    <t>mm</t>
  </si>
  <si>
    <t>Gamma</t>
  </si>
  <si>
    <t>nn</t>
  </si>
  <si>
    <t>Delta</t>
  </si>
  <si>
    <t>oo</t>
  </si>
  <si>
    <t>Lambda</t>
  </si>
  <si>
    <t>pp</t>
  </si>
  <si>
    <t>Epsílon</t>
  </si>
  <si>
    <t>qq</t>
  </si>
  <si>
    <t>Eta</t>
  </si>
  <si>
    <t>vv</t>
  </si>
  <si>
    <t>Fi</t>
  </si>
  <si>
    <t>xx</t>
  </si>
  <si>
    <t>Mi</t>
  </si>
  <si>
    <t>zz</t>
  </si>
  <si>
    <t>Mu</t>
  </si>
  <si>
    <t>rr</t>
  </si>
  <si>
    <t>Ni</t>
  </si>
  <si>
    <t>ss</t>
  </si>
  <si>
    <t>Iota</t>
  </si>
  <si>
    <t>aa</t>
  </si>
  <si>
    <t>Ómega</t>
  </si>
  <si>
    <t>bb</t>
  </si>
  <si>
    <t>Pi</t>
  </si>
  <si>
    <t>tt</t>
  </si>
  <si>
    <t>Psi</t>
  </si>
  <si>
    <t>uu</t>
  </si>
  <si>
    <t>Qui</t>
  </si>
  <si>
    <t>ee</t>
  </si>
  <si>
    <t>Ómicron</t>
  </si>
  <si>
    <t>ff</t>
  </si>
  <si>
    <t>Ró</t>
  </si>
  <si>
    <t>dd</t>
  </si>
  <si>
    <t>Sigma</t>
  </si>
  <si>
    <t>cc</t>
  </si>
  <si>
    <t>Teta</t>
  </si>
  <si>
    <t>Xi</t>
  </si>
  <si>
    <t>Zeta</t>
  </si>
  <si>
    <t>Trimestre</t>
  </si>
  <si>
    <t>Cidade</t>
  </si>
  <si>
    <t>Produto</t>
  </si>
  <si>
    <t>Vendas</t>
  </si>
  <si>
    <t>Beja</t>
  </si>
  <si>
    <t>A</t>
  </si>
  <si>
    <t>a)</t>
  </si>
  <si>
    <t>Qual o Valor máximo e mínimo de vendas?</t>
  </si>
  <si>
    <t>Braga</t>
  </si>
  <si>
    <t>B</t>
  </si>
  <si>
    <t>b)</t>
  </si>
  <si>
    <t>Qual o valor máximo de vendas para o produto C?</t>
  </si>
  <si>
    <t>Aveiro</t>
  </si>
  <si>
    <t>C</t>
  </si>
  <si>
    <t>c)</t>
  </si>
  <si>
    <t>Qual o valor mínimo de vendas para Aveiro?</t>
  </si>
  <si>
    <t>d)</t>
  </si>
  <si>
    <t>Qual o pior resultado do produto A no primeito trimestre?</t>
  </si>
  <si>
    <t>Guarda</t>
  </si>
  <si>
    <t>Valor Máximo</t>
  </si>
  <si>
    <t>Valor Mínimo</t>
  </si>
  <si>
    <t>Valor Máximo Prod.C</t>
  </si>
  <si>
    <t>Valor Minimo Aveiro</t>
  </si>
  <si>
    <t>Pior_Resul_A_T1</t>
  </si>
  <si>
    <t>Km</t>
  </si>
  <si>
    <t>IVA</t>
  </si>
  <si>
    <t>a) Mais Barato Sem Desconto</t>
  </si>
  <si>
    <t>b) Mais Caro Sem Desconto</t>
  </si>
  <si>
    <t>c) Média Sem Desconto</t>
  </si>
  <si>
    <t>d) Mais barato com desconto</t>
  </si>
  <si>
    <t>e) Mais caro com desconto</t>
  </si>
  <si>
    <t>f) Média Com Desconto</t>
  </si>
  <si>
    <t>g) Número de Marcas</t>
  </si>
  <si>
    <t>h) Modelos por identificar</t>
  </si>
  <si>
    <t>Dias com Prod.</t>
  </si>
  <si>
    <t>Preço com IVA</t>
  </si>
  <si>
    <t>Preço com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</si>
</sst>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XDR&quot;_-;\-* #,##0.00\ &quot;XDR&quot;_-;_-* &quot;-&quot;??\ &quot;XDR&quot;_-;_-@_-"/>
    <numFmt numFmtId="165" formatCode="_-[$€-2]\ * #,##0.00_-;\-[$€-2]\ * #,##0.00_-;_-[$€-2]\ * &quot;-&quot;??_-;_-@_-"/>
    <numFmt numFmtId="167" formatCode="_-* #,##0.00\ [$€-816]_-;\-* #,##0.00\ [$€-816]_-;_-* &quot;-&quot;??\ [$€-816]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8" fillId="6" borderId="1" applyNumberFormat="0" applyAlignment="0" applyProtection="0"/>
  </cellStyleXfs>
  <cellXfs count="52">
    <xf numFmtId="0" fontId="0" fillId="0" borderId="0" xfId="0"/>
    <xf numFmtId="0" fontId="0" fillId="0" borderId="2" xfId="0" applyBorder="1" applyAlignment="1">
      <alignment horizontal="center"/>
    </xf>
    <xf numFmtId="0" fontId="2" fillId="2" borderId="2" xfId="3" applyBorder="1"/>
    <xf numFmtId="0" fontId="3" fillId="3" borderId="1" xfId="4"/>
    <xf numFmtId="0" fontId="0" fillId="5" borderId="2" xfId="0" applyFill="1" applyBorder="1"/>
    <xf numFmtId="0" fontId="0" fillId="5" borderId="3" xfId="0" applyFill="1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5" borderId="7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23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2" fillId="2" borderId="0" xfId="3"/>
    <xf numFmtId="0" fontId="0" fillId="0" borderId="13" xfId="0" applyBorder="1" applyAlignment="1">
      <alignment horizontal="center"/>
    </xf>
    <xf numFmtId="0" fontId="2" fillId="2" borderId="13" xfId="3" applyBorder="1"/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8" fillId="6" borderId="1" xfId="5" applyNumberFormat="1"/>
    <xf numFmtId="165" fontId="8" fillId="6" borderId="1" xfId="1" applyNumberFormat="1" applyFont="1" applyFill="1" applyBorder="1"/>
    <xf numFmtId="0" fontId="3" fillId="3" borderId="1" xfId="4" applyAlignment="1">
      <alignment horizontal="center"/>
    </xf>
    <xf numFmtId="0" fontId="0" fillId="0" borderId="17" xfId="0" applyBorder="1" applyAlignment="1">
      <alignment horizontal="center"/>
    </xf>
    <xf numFmtId="165" fontId="2" fillId="2" borderId="2" xfId="3" applyNumberFormat="1" applyBorder="1"/>
    <xf numFmtId="0" fontId="0" fillId="0" borderId="0" xfId="0" applyAlignment="1">
      <alignment horizontal="left"/>
    </xf>
    <xf numFmtId="0" fontId="7" fillId="4" borderId="2" xfId="0" applyFont="1" applyFill="1" applyBorder="1" applyAlignment="1">
      <alignment horizontal="left" vertical="center"/>
    </xf>
    <xf numFmtId="0" fontId="3" fillId="3" borderId="2" xfId="4" applyBorder="1" applyAlignment="1">
      <alignment horizontal="center"/>
    </xf>
    <xf numFmtId="0" fontId="3" fillId="3" borderId="24" xfId="4" applyBorder="1" applyAlignment="1">
      <alignment horizontal="center"/>
    </xf>
    <xf numFmtId="0" fontId="3" fillId="3" borderId="25" xfId="4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" xfId="0" applyBorder="1"/>
    <xf numFmtId="0" fontId="3" fillId="3" borderId="8" xfId="4" applyBorder="1"/>
    <xf numFmtId="0" fontId="2" fillId="2" borderId="9" xfId="3" applyBorder="1"/>
    <xf numFmtId="0" fontId="2" fillId="2" borderId="28" xfId="3" applyBorder="1" applyAlignment="1">
      <alignment horizontal="right"/>
    </xf>
    <xf numFmtId="10" fontId="2" fillId="2" borderId="18" xfId="2" applyNumberFormat="1" applyFont="1" applyFill="1" applyBorder="1" applyAlignment="1">
      <alignment horizontal="center"/>
    </xf>
    <xf numFmtId="10" fontId="2" fillId="2" borderId="26" xfId="2" applyNumberFormat="1" applyFont="1" applyFill="1" applyBorder="1" applyAlignment="1">
      <alignment horizontal="center"/>
    </xf>
    <xf numFmtId="9" fontId="2" fillId="2" borderId="17" xfId="3" applyNumberFormat="1" applyBorder="1" applyAlignment="1">
      <alignment horizontal="center"/>
    </xf>
    <xf numFmtId="9" fontId="0" fillId="5" borderId="11" xfId="2" applyFont="1" applyFill="1" applyBorder="1" applyAlignment="1">
      <alignment horizontal="center" vertical="center"/>
    </xf>
    <xf numFmtId="9" fontId="0" fillId="5" borderId="12" xfId="2" applyFont="1" applyFill="1" applyBorder="1" applyAlignment="1">
      <alignment horizontal="center" vertical="center"/>
    </xf>
    <xf numFmtId="167" fontId="0" fillId="5" borderId="2" xfId="1" applyNumberFormat="1" applyFont="1" applyFill="1" applyBorder="1"/>
    <xf numFmtId="167" fontId="0" fillId="5" borderId="3" xfId="1" applyNumberFormat="1" applyFont="1" applyFill="1" applyBorder="1"/>
    <xf numFmtId="167" fontId="0" fillId="5" borderId="11" xfId="1" applyNumberFormat="1" applyFont="1" applyFill="1" applyBorder="1"/>
    <xf numFmtId="167" fontId="0" fillId="5" borderId="2" xfId="0" applyNumberFormat="1" applyFill="1" applyBorder="1"/>
    <xf numFmtId="167" fontId="0" fillId="5" borderId="3" xfId="0" applyNumberFormat="1" applyFill="1" applyBorder="1"/>
    <xf numFmtId="0" fontId="6" fillId="0" borderId="13" xfId="0" applyFont="1" applyFill="1" applyBorder="1" applyAlignment="1">
      <alignment horizontal="center" vertical="center"/>
    </xf>
  </cellXfs>
  <cellStyles count="6">
    <cellStyle name="Calculation" xfId="4" builtinId="22"/>
    <cellStyle name="Currency" xfId="1" builtinId="4"/>
    <cellStyle name="Input" xfId="5" builtinId="20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30" zoomScaleNormal="231" workbookViewId="0">
      <selection activeCell="D9" sqref="D4:D9"/>
    </sheetView>
  </sheetViews>
  <sheetFormatPr defaultRowHeight="14.4" x14ac:dyDescent="0.3"/>
  <cols>
    <col min="1" max="1" width="11.33203125" bestFit="1" customWidth="1"/>
    <col min="4" max="4" width="19.6640625" bestFit="1" customWidth="1"/>
  </cols>
  <sheetData>
    <row r="1" spans="1:6" x14ac:dyDescent="0.3">
      <c r="F1" s="28" t="s">
        <v>89</v>
      </c>
    </row>
    <row r="2" spans="1:6" ht="15" thickBot="1" x14ac:dyDescent="0.35">
      <c r="F2" s="29">
        <v>100</v>
      </c>
    </row>
    <row r="3" spans="1:6" ht="15" thickBot="1" x14ac:dyDescent="0.35">
      <c r="A3" s="13" t="s">
        <v>0</v>
      </c>
      <c r="B3" s="17" t="s">
        <v>1</v>
      </c>
      <c r="C3" s="23" t="s">
        <v>2</v>
      </c>
      <c r="D3" s="18" t="s">
        <v>3</v>
      </c>
    </row>
    <row r="4" spans="1:6" x14ac:dyDescent="0.3">
      <c r="A4" s="14" t="s">
        <v>4</v>
      </c>
      <c r="B4" s="11">
        <v>505</v>
      </c>
      <c r="C4" s="20">
        <v>30</v>
      </c>
      <c r="D4" s="21">
        <f>(C4*$F$2)/B4</f>
        <v>5.9405940594059405</v>
      </c>
    </row>
    <row r="5" spans="1:6" x14ac:dyDescent="0.3">
      <c r="A5" s="15" t="s">
        <v>5</v>
      </c>
      <c r="B5" s="12">
        <v>560</v>
      </c>
      <c r="C5" s="1">
        <v>30.5</v>
      </c>
      <c r="D5" s="21">
        <f t="shared" ref="D5:D9" si="0">(C5*$F$2)/B5</f>
        <v>5.4464285714285712</v>
      </c>
    </row>
    <row r="6" spans="1:6" x14ac:dyDescent="0.3">
      <c r="A6" s="15" t="s">
        <v>6</v>
      </c>
      <c r="B6" s="12">
        <v>510</v>
      </c>
      <c r="C6" s="1">
        <v>29</v>
      </c>
      <c r="D6" s="21">
        <f t="shared" si="0"/>
        <v>5.6862745098039218</v>
      </c>
    </row>
    <row r="7" spans="1:6" x14ac:dyDescent="0.3">
      <c r="A7" s="15" t="s">
        <v>7</v>
      </c>
      <c r="B7" s="12">
        <v>600</v>
      </c>
      <c r="C7" s="1">
        <v>31</v>
      </c>
      <c r="D7" s="21">
        <f t="shared" si="0"/>
        <v>5.166666666666667</v>
      </c>
    </row>
    <row r="8" spans="1:6" x14ac:dyDescent="0.3">
      <c r="A8" s="15" t="s">
        <v>8</v>
      </c>
      <c r="B8" s="12">
        <v>550</v>
      </c>
      <c r="C8" s="1">
        <v>28</v>
      </c>
      <c r="D8" s="21">
        <f t="shared" si="0"/>
        <v>5.0909090909090908</v>
      </c>
    </row>
    <row r="9" spans="1:6" ht="15" thickBot="1" x14ac:dyDescent="0.35">
      <c r="A9" s="16" t="s">
        <v>9</v>
      </c>
      <c r="B9" s="12">
        <v>499</v>
      </c>
      <c r="C9" s="1">
        <v>30</v>
      </c>
      <c r="D9" s="21">
        <f t="shared" si="0"/>
        <v>6.0120240480961922</v>
      </c>
    </row>
    <row r="11" spans="1:6" x14ac:dyDescent="0.3">
      <c r="C11" s="3" t="s">
        <v>10</v>
      </c>
      <c r="D11" s="19">
        <f>AVERAGE(D4:D9)</f>
        <v>5.5571494910517307</v>
      </c>
    </row>
  </sheetData>
  <autoFilter ref="A3:D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7EEC-158E-4AA1-BD3A-6277A39DF8E6}">
  <dimension ref="A1:C13"/>
  <sheetViews>
    <sheetView zoomScale="111" zoomScaleNormal="175" workbookViewId="0">
      <selection activeCell="H7" sqref="H7"/>
    </sheetView>
  </sheetViews>
  <sheetFormatPr defaultRowHeight="14.4" x14ac:dyDescent="0.3"/>
  <cols>
    <col min="1" max="1" width="11.109375" bestFit="1" customWidth="1"/>
    <col min="2" max="2" width="14.88671875" bestFit="1" customWidth="1"/>
    <col min="3" max="3" width="12.6640625" bestFit="1" customWidth="1"/>
  </cols>
  <sheetData>
    <row r="1" spans="1:3" x14ac:dyDescent="0.3">
      <c r="A1" s="3" t="s">
        <v>12</v>
      </c>
      <c r="B1">
        <v>1500</v>
      </c>
      <c r="C1" t="s">
        <v>13</v>
      </c>
    </row>
    <row r="2" spans="1:3" ht="15" thickBot="1" x14ac:dyDescent="0.35"/>
    <row r="3" spans="1:3" ht="15" thickBot="1" x14ac:dyDescent="0.35">
      <c r="A3" s="13" t="s">
        <v>11</v>
      </c>
      <c r="B3" s="17" t="s">
        <v>14</v>
      </c>
      <c r="C3" s="18" t="s">
        <v>15</v>
      </c>
    </row>
    <row r="4" spans="1:3" x14ac:dyDescent="0.3">
      <c r="A4" s="14">
        <v>45229</v>
      </c>
      <c r="B4" s="11">
        <v>897</v>
      </c>
      <c r="C4" s="41">
        <f>B4/$B$1-1</f>
        <v>-0.40200000000000002</v>
      </c>
    </row>
    <row r="5" spans="1:3" x14ac:dyDescent="0.3">
      <c r="A5" s="15">
        <v>45230</v>
      </c>
      <c r="B5" s="12">
        <v>1289</v>
      </c>
      <c r="C5" s="41">
        <f>B5/$B$1-1</f>
        <v>-0.14066666666666672</v>
      </c>
    </row>
    <row r="6" spans="1:3" x14ac:dyDescent="0.3">
      <c r="A6" s="15">
        <v>45225</v>
      </c>
      <c r="B6" s="12">
        <v>1356</v>
      </c>
      <c r="C6" s="41">
        <f>B6/$B$1-1</f>
        <v>-9.5999999999999974E-2</v>
      </c>
    </row>
    <row r="7" spans="1:3" x14ac:dyDescent="0.3">
      <c r="A7" s="15">
        <v>45232</v>
      </c>
      <c r="B7" s="12">
        <v>1499</v>
      </c>
      <c r="C7" s="41">
        <f>B7/$B$1-1</f>
        <v>-6.6666666666670427E-4</v>
      </c>
    </row>
    <row r="8" spans="1:3" x14ac:dyDescent="0.3">
      <c r="A8" s="15">
        <v>45226</v>
      </c>
      <c r="B8" s="12">
        <v>1578</v>
      </c>
      <c r="C8" s="41">
        <f>B8/$B$1-1</f>
        <v>5.2000000000000046E-2</v>
      </c>
    </row>
    <row r="9" spans="1:3" x14ac:dyDescent="0.3">
      <c r="A9" s="15">
        <v>45231</v>
      </c>
      <c r="B9" s="12">
        <v>1760</v>
      </c>
      <c r="C9" s="41">
        <f>B9/$B$1-1</f>
        <v>0.17333333333333334</v>
      </c>
    </row>
    <row r="10" spans="1:3" x14ac:dyDescent="0.3">
      <c r="A10" s="15">
        <v>45227</v>
      </c>
      <c r="B10" s="12">
        <v>1879</v>
      </c>
      <c r="C10" s="41">
        <f>B10/$B$1-1</f>
        <v>0.2526666666666666</v>
      </c>
    </row>
    <row r="11" spans="1:3" ht="15" thickBot="1" x14ac:dyDescent="0.35">
      <c r="A11" s="16">
        <v>45228</v>
      </c>
      <c r="B11" s="36" t="s">
        <v>16</v>
      </c>
      <c r="C11" s="42" t="e">
        <f>B11/$B$1-1</f>
        <v>#VALUE!</v>
      </c>
    </row>
    <row r="12" spans="1:3" x14ac:dyDescent="0.3">
      <c r="B12" s="37" t="s">
        <v>99</v>
      </c>
      <c r="C12" s="40">
        <f>COUNT(C4:C11)</f>
        <v>7</v>
      </c>
    </row>
    <row r="13" spans="1:3" ht="15" thickBot="1" x14ac:dyDescent="0.35">
      <c r="B13" s="38" t="s">
        <v>17</v>
      </c>
      <c r="C13" s="39">
        <f>COUNTIF(C4:C11,"&gt;0")</f>
        <v>3</v>
      </c>
    </row>
  </sheetData>
  <sortState xmlns:xlrd2="http://schemas.microsoft.com/office/spreadsheetml/2017/richdata2" ref="A4:C11">
    <sortCondition ref="C4:C1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0523-59C1-474D-BD63-FCAFF67A634E}">
  <dimension ref="A1:N24"/>
  <sheetViews>
    <sheetView tabSelected="1" zoomScale="78" zoomScaleNormal="145" workbookViewId="0">
      <selection activeCell="J21" sqref="J21"/>
    </sheetView>
  </sheetViews>
  <sheetFormatPr defaultRowHeight="14.4" x14ac:dyDescent="0.3"/>
  <cols>
    <col min="3" max="3" width="14.109375" bestFit="1" customWidth="1"/>
    <col min="4" max="4" width="15.21875" bestFit="1" customWidth="1"/>
    <col min="5" max="5" width="24.33203125" bestFit="1" customWidth="1"/>
    <col min="6" max="6" width="21.33203125" bestFit="1" customWidth="1"/>
    <col min="11" max="11" width="10" customWidth="1"/>
    <col min="14" max="14" width="10.6640625" bestFit="1" customWidth="1"/>
  </cols>
  <sheetData>
    <row r="1" spans="1:14" ht="15.6" x14ac:dyDescent="0.3">
      <c r="A1" s="6" t="s">
        <v>18</v>
      </c>
      <c r="B1" s="7" t="s">
        <v>19</v>
      </c>
      <c r="C1" s="7" t="s">
        <v>20</v>
      </c>
      <c r="D1" s="10" t="s">
        <v>100</v>
      </c>
      <c r="E1" s="10" t="s">
        <v>21</v>
      </c>
      <c r="F1" s="51" t="s">
        <v>101</v>
      </c>
      <c r="I1" s="28" t="s">
        <v>90</v>
      </c>
    </row>
    <row r="2" spans="1:14" ht="16.2" thickBot="1" x14ac:dyDescent="0.35">
      <c r="A2" s="8" t="s">
        <v>60</v>
      </c>
      <c r="B2" s="4" t="s">
        <v>61</v>
      </c>
      <c r="C2" s="46">
        <v>3789</v>
      </c>
      <c r="D2" s="48">
        <f>C2+C2*I2</f>
        <v>4660.47</v>
      </c>
      <c r="E2" s="44">
        <v>0.13</v>
      </c>
      <c r="F2" s="49">
        <f>D2-D2*E2</f>
        <v>4054.6089000000002</v>
      </c>
      <c r="I2" s="43">
        <v>0.23</v>
      </c>
    </row>
    <row r="3" spans="1:14" ht="15.6" x14ac:dyDescent="0.3">
      <c r="A3" s="8" t="s">
        <v>32</v>
      </c>
      <c r="B3" s="4" t="s">
        <v>33</v>
      </c>
      <c r="C3" s="46">
        <v>3700</v>
      </c>
      <c r="D3" s="48">
        <f>C3+C3*I3</f>
        <v>3700</v>
      </c>
      <c r="E3" s="44">
        <v>0.09</v>
      </c>
      <c r="F3" s="49">
        <f>D3-D3*E3</f>
        <v>3367</v>
      </c>
      <c r="K3" s="32" t="s">
        <v>91</v>
      </c>
      <c r="L3" s="32"/>
      <c r="M3" s="32"/>
      <c r="N3" s="30">
        <f>MIN(D2:D24)</f>
        <v>3700</v>
      </c>
    </row>
    <row r="4" spans="1:14" ht="15.6" x14ac:dyDescent="0.3">
      <c r="A4" s="8" t="s">
        <v>40</v>
      </c>
      <c r="B4" s="4" t="s">
        <v>41</v>
      </c>
      <c r="C4" s="46">
        <v>3900</v>
      </c>
      <c r="D4" s="48">
        <f>C4+C4*I4</f>
        <v>3900</v>
      </c>
      <c r="E4" s="44">
        <v>0.04</v>
      </c>
      <c r="F4" s="49">
        <f>D4-D4*E4</f>
        <v>3744</v>
      </c>
      <c r="K4" s="32" t="s">
        <v>92</v>
      </c>
      <c r="L4" s="32"/>
      <c r="M4" s="32"/>
      <c r="N4" s="30">
        <f>MAX(D2:D24)</f>
        <v>9000</v>
      </c>
    </row>
    <row r="5" spans="1:14" ht="15.6" x14ac:dyDescent="0.3">
      <c r="A5" s="8" t="s">
        <v>62</v>
      </c>
      <c r="B5" s="4"/>
      <c r="C5" s="46">
        <v>3988</v>
      </c>
      <c r="D5" s="48">
        <f>C5+C5*I5</f>
        <v>3988</v>
      </c>
      <c r="E5" s="44">
        <v>0.04</v>
      </c>
      <c r="F5" s="49">
        <f>D5-D5*E5</f>
        <v>3828.48</v>
      </c>
      <c r="K5" s="32" t="s">
        <v>93</v>
      </c>
      <c r="L5" s="32"/>
      <c r="M5" s="32"/>
      <c r="N5" s="30">
        <f>AVERAGE(D2:D24)</f>
        <v>5621.8465217391304</v>
      </c>
    </row>
    <row r="6" spans="1:14" ht="15.6" x14ac:dyDescent="0.3">
      <c r="A6" s="8" t="s">
        <v>34</v>
      </c>
      <c r="B6" s="4" t="s">
        <v>35</v>
      </c>
      <c r="C6" s="46">
        <v>4100</v>
      </c>
      <c r="D6" s="48">
        <f>C6+C6*I6</f>
        <v>4100</v>
      </c>
      <c r="E6" s="44">
        <v>0.06</v>
      </c>
      <c r="F6" s="49">
        <f>D6-D6*E6</f>
        <v>3854</v>
      </c>
      <c r="K6" s="31"/>
      <c r="L6" s="31"/>
      <c r="M6" s="31"/>
    </row>
    <row r="7" spans="1:14" ht="15.6" x14ac:dyDescent="0.3">
      <c r="A7" s="8" t="s">
        <v>42</v>
      </c>
      <c r="B7" s="4" t="s">
        <v>43</v>
      </c>
      <c r="C7" s="46">
        <v>4010</v>
      </c>
      <c r="D7" s="48">
        <f>C7+C7*I7</f>
        <v>4010</v>
      </c>
      <c r="E7" s="44">
        <v>0.03</v>
      </c>
      <c r="F7" s="49">
        <f>D7-D7*E7</f>
        <v>3889.7</v>
      </c>
      <c r="K7" s="32" t="s">
        <v>94</v>
      </c>
      <c r="L7" s="32"/>
      <c r="M7" s="32"/>
      <c r="N7" s="30">
        <f>MIN(F2:F24)</f>
        <v>3367</v>
      </c>
    </row>
    <row r="8" spans="1:14" ht="15.6" x14ac:dyDescent="0.3">
      <c r="A8" s="8" t="s">
        <v>26</v>
      </c>
      <c r="B8" s="4" t="s">
        <v>27</v>
      </c>
      <c r="C8" s="46">
        <v>4500</v>
      </c>
      <c r="D8" s="48">
        <f>C8+C8*I8</f>
        <v>4500</v>
      </c>
      <c r="E8" s="44">
        <v>0.05</v>
      </c>
      <c r="F8" s="49">
        <f>D8-D8*E8</f>
        <v>4275</v>
      </c>
      <c r="K8" s="32" t="s">
        <v>95</v>
      </c>
      <c r="L8" s="32"/>
      <c r="M8" s="32"/>
      <c r="N8" s="30">
        <f>MAX(F2:F24)</f>
        <v>7920</v>
      </c>
    </row>
    <row r="9" spans="1:14" ht="15.6" x14ac:dyDescent="0.3">
      <c r="A9" s="8" t="s">
        <v>58</v>
      </c>
      <c r="B9" s="4" t="s">
        <v>59</v>
      </c>
      <c r="C9" s="46">
        <v>4823</v>
      </c>
      <c r="D9" s="48">
        <f>C9+C9*I9</f>
        <v>4823</v>
      </c>
      <c r="E9" s="44">
        <v>0.11</v>
      </c>
      <c r="F9" s="49">
        <f>D9-D9*E9</f>
        <v>4292.47</v>
      </c>
      <c r="K9" s="32" t="s">
        <v>96</v>
      </c>
      <c r="L9" s="32"/>
      <c r="M9" s="32"/>
      <c r="N9" s="30">
        <f>AVERAGE(F2:F24)</f>
        <v>5190.1477782608699</v>
      </c>
    </row>
    <row r="10" spans="1:14" ht="15.6" x14ac:dyDescent="0.3">
      <c r="A10" s="8" t="s">
        <v>28</v>
      </c>
      <c r="B10" s="4" t="s">
        <v>29</v>
      </c>
      <c r="C10" s="46">
        <v>5100</v>
      </c>
      <c r="D10" s="48">
        <f>C10+C10*I10</f>
        <v>5100</v>
      </c>
      <c r="E10" s="44">
        <v>0.1</v>
      </c>
      <c r="F10" s="49">
        <f>D10-D10*E10</f>
        <v>4590</v>
      </c>
      <c r="K10" s="31"/>
      <c r="L10" s="31"/>
      <c r="M10" s="31"/>
    </row>
    <row r="11" spans="1:14" ht="15.6" x14ac:dyDescent="0.3">
      <c r="A11" s="8" t="s">
        <v>30</v>
      </c>
      <c r="B11" s="4" t="s">
        <v>31</v>
      </c>
      <c r="C11" s="46">
        <v>5400</v>
      </c>
      <c r="D11" s="48">
        <f>C11+C11*I11</f>
        <v>5400</v>
      </c>
      <c r="E11" s="44">
        <v>0.08</v>
      </c>
      <c r="F11" s="49">
        <f>D11-D11*E11</f>
        <v>4968</v>
      </c>
      <c r="K11" s="32" t="s">
        <v>97</v>
      </c>
      <c r="L11" s="32"/>
      <c r="M11" s="32"/>
      <c r="N11" s="2">
        <f>COUNTA(A2:A24)</f>
        <v>23</v>
      </c>
    </row>
    <row r="12" spans="1:14" ht="15.6" x14ac:dyDescent="0.3">
      <c r="A12" s="8" t="s">
        <v>52</v>
      </c>
      <c r="B12" s="4" t="s">
        <v>53</v>
      </c>
      <c r="C12" s="46">
        <v>5700</v>
      </c>
      <c r="D12" s="48">
        <f>C12+C12*I12</f>
        <v>5700</v>
      </c>
      <c r="E12" s="44">
        <v>0.1</v>
      </c>
      <c r="F12" s="49">
        <f>D12-D12*E12</f>
        <v>5130</v>
      </c>
      <c r="K12" s="32" t="s">
        <v>98</v>
      </c>
      <c r="L12" s="32"/>
      <c r="M12" s="32"/>
      <c r="N12" s="2">
        <f>COUNTBLANK(B2:B24)</f>
        <v>3</v>
      </c>
    </row>
    <row r="13" spans="1:14" ht="15.6" x14ac:dyDescent="0.3">
      <c r="A13" s="8" t="s">
        <v>63</v>
      </c>
      <c r="B13" s="4"/>
      <c r="C13" s="46">
        <v>5444</v>
      </c>
      <c r="D13" s="48">
        <f>C13+C13*I13</f>
        <v>5444</v>
      </c>
      <c r="E13" s="44">
        <v>0.03</v>
      </c>
      <c r="F13" s="49">
        <f>D13-D13*E13</f>
        <v>5280.68</v>
      </c>
    </row>
    <row r="14" spans="1:14" ht="15.6" x14ac:dyDescent="0.3">
      <c r="A14" s="8" t="s">
        <v>38</v>
      </c>
      <c r="B14" s="4" t="s">
        <v>39</v>
      </c>
      <c r="C14" s="46">
        <v>5800</v>
      </c>
      <c r="D14" s="48">
        <f>C14+C14*I14</f>
        <v>5800</v>
      </c>
      <c r="E14" s="44">
        <v>7.0000000000000007E-2</v>
      </c>
      <c r="F14" s="49">
        <f>D14-D14*E14</f>
        <v>5394</v>
      </c>
    </row>
    <row r="15" spans="1:14" ht="15.6" x14ac:dyDescent="0.3">
      <c r="A15" s="8" t="s">
        <v>44</v>
      </c>
      <c r="B15" s="4" t="s">
        <v>45</v>
      </c>
      <c r="C15" s="46">
        <v>5897</v>
      </c>
      <c r="D15" s="48">
        <f>C15+C15*I15</f>
        <v>5897</v>
      </c>
      <c r="E15" s="44">
        <v>0.06</v>
      </c>
      <c r="F15" s="49">
        <f>D15-D15*E15</f>
        <v>5543.18</v>
      </c>
    </row>
    <row r="16" spans="1:14" ht="15.6" x14ac:dyDescent="0.3">
      <c r="A16" s="8" t="s">
        <v>46</v>
      </c>
      <c r="B16" s="4" t="s">
        <v>47</v>
      </c>
      <c r="C16" s="46">
        <v>6098</v>
      </c>
      <c r="D16" s="48">
        <f>C16+C16*I16</f>
        <v>6098</v>
      </c>
      <c r="E16" s="44">
        <v>7.0000000000000007E-2</v>
      </c>
      <c r="F16" s="49">
        <f>D16-D16*E16</f>
        <v>5671.14</v>
      </c>
    </row>
    <row r="17" spans="1:6" ht="15.6" x14ac:dyDescent="0.3">
      <c r="A17" s="8" t="s">
        <v>64</v>
      </c>
      <c r="B17" s="4"/>
      <c r="C17" s="46">
        <v>6002</v>
      </c>
      <c r="D17" s="48">
        <f>C17+C17*I17</f>
        <v>6002</v>
      </c>
      <c r="E17" s="44">
        <v>0.03</v>
      </c>
      <c r="F17" s="49">
        <f>D17-D17*E17</f>
        <v>5821.94</v>
      </c>
    </row>
    <row r="18" spans="1:6" ht="15.6" x14ac:dyDescent="0.3">
      <c r="A18" s="8" t="s">
        <v>22</v>
      </c>
      <c r="B18" s="4" t="s">
        <v>23</v>
      </c>
      <c r="C18" s="46">
        <v>5000</v>
      </c>
      <c r="D18" s="48">
        <f>C18+C18*I18</f>
        <v>5000</v>
      </c>
      <c r="E18" s="44">
        <v>0.05</v>
      </c>
      <c r="F18" s="49">
        <f>D18-D18*E18</f>
        <v>4750</v>
      </c>
    </row>
    <row r="19" spans="1:6" ht="15.6" x14ac:dyDescent="0.3">
      <c r="A19" s="8" t="s">
        <v>54</v>
      </c>
      <c r="B19" s="4" t="s">
        <v>55</v>
      </c>
      <c r="C19" s="46">
        <v>6700</v>
      </c>
      <c r="D19" s="48">
        <f>C19+C19*I19</f>
        <v>6700</v>
      </c>
      <c r="E19" s="44">
        <v>0.09</v>
      </c>
      <c r="F19" s="49">
        <f>D19-D19*E19</f>
        <v>6097</v>
      </c>
    </row>
    <row r="20" spans="1:6" ht="15.6" x14ac:dyDescent="0.3">
      <c r="A20" s="8" t="s">
        <v>24</v>
      </c>
      <c r="B20" s="4" t="s">
        <v>25</v>
      </c>
      <c r="C20" s="46">
        <v>6500</v>
      </c>
      <c r="D20" s="48">
        <f>C20+C20*I20</f>
        <v>6500</v>
      </c>
      <c r="E20" s="44">
        <v>0.06</v>
      </c>
      <c r="F20" s="49">
        <f>D20-D20*E20</f>
        <v>6110</v>
      </c>
    </row>
    <row r="21" spans="1:6" ht="15.6" x14ac:dyDescent="0.3">
      <c r="A21" s="8" t="s">
        <v>36</v>
      </c>
      <c r="B21" s="4" t="s">
        <v>37</v>
      </c>
      <c r="C21" s="46">
        <v>7000</v>
      </c>
      <c r="D21" s="48">
        <f>C21+C21*I21</f>
        <v>7000</v>
      </c>
      <c r="E21" s="44">
        <v>0.05</v>
      </c>
      <c r="F21" s="49">
        <f>D21-D21*E21</f>
        <v>6650</v>
      </c>
    </row>
    <row r="22" spans="1:6" ht="15.6" x14ac:dyDescent="0.3">
      <c r="A22" s="8" t="s">
        <v>50</v>
      </c>
      <c r="B22" s="4" t="s">
        <v>51</v>
      </c>
      <c r="C22" s="46">
        <v>8000</v>
      </c>
      <c r="D22" s="48">
        <f>C22+C22*I22</f>
        <v>8000</v>
      </c>
      <c r="E22" s="44">
        <v>0.12</v>
      </c>
      <c r="F22" s="49">
        <f>D22-D22*E22</f>
        <v>7040</v>
      </c>
    </row>
    <row r="23" spans="1:6" ht="15.6" x14ac:dyDescent="0.3">
      <c r="A23" s="8" t="s">
        <v>48</v>
      </c>
      <c r="B23" s="4" t="s">
        <v>49</v>
      </c>
      <c r="C23" s="46">
        <v>7980</v>
      </c>
      <c r="D23" s="48">
        <f>C23+C23*I23</f>
        <v>7980</v>
      </c>
      <c r="E23" s="44">
        <v>0.11</v>
      </c>
      <c r="F23" s="49">
        <f>D23-D23*E23</f>
        <v>7102.2</v>
      </c>
    </row>
    <row r="24" spans="1:6" ht="16.2" thickBot="1" x14ac:dyDescent="0.35">
      <c r="A24" s="9" t="s">
        <v>56</v>
      </c>
      <c r="B24" s="5" t="s">
        <v>57</v>
      </c>
      <c r="C24" s="47">
        <v>9000</v>
      </c>
      <c r="D24" s="47">
        <f>C24+C24*I24</f>
        <v>9000</v>
      </c>
      <c r="E24" s="45">
        <v>0.12</v>
      </c>
      <c r="F24" s="50">
        <f>D24-D24*E24</f>
        <v>7920</v>
      </c>
    </row>
  </sheetData>
  <sortState xmlns:xlrd2="http://schemas.microsoft.com/office/spreadsheetml/2017/richdata2" ref="A2:F24">
    <sortCondition ref="F2:F24"/>
  </sortState>
  <mergeCells count="8">
    <mergeCell ref="K11:M11"/>
    <mergeCell ref="K12:M12"/>
    <mergeCell ref="K3:M3"/>
    <mergeCell ref="K4:M4"/>
    <mergeCell ref="K5:M5"/>
    <mergeCell ref="K7:M7"/>
    <mergeCell ref="K8:M8"/>
    <mergeCell ref="K9:M9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B564-BC1F-4BA5-A40F-AD7694B26513}">
  <dimension ref="A1:I15"/>
  <sheetViews>
    <sheetView zoomScale="145" zoomScaleNormal="145" workbookViewId="0">
      <selection activeCell="I16" sqref="I16"/>
    </sheetView>
  </sheetViews>
  <sheetFormatPr defaultRowHeight="14.4" x14ac:dyDescent="0.3"/>
  <cols>
    <col min="4" max="4" width="13.33203125" bestFit="1" customWidth="1"/>
    <col min="8" max="8" width="9.88671875" customWidth="1"/>
    <col min="9" max="9" width="14.6640625" bestFit="1" customWidth="1"/>
  </cols>
  <sheetData>
    <row r="1" spans="1:9" ht="15" thickBot="1" x14ac:dyDescent="0.35">
      <c r="A1" s="22" t="s">
        <v>65</v>
      </c>
      <c r="B1" s="23" t="s">
        <v>66</v>
      </c>
      <c r="C1" s="23" t="s">
        <v>67</v>
      </c>
      <c r="D1" s="18" t="s">
        <v>68</v>
      </c>
    </row>
    <row r="2" spans="1:9" x14ac:dyDescent="0.3">
      <c r="A2" s="20">
        <v>1</v>
      </c>
      <c r="B2" s="20" t="s">
        <v>69</v>
      </c>
      <c r="C2" s="20" t="s">
        <v>70</v>
      </c>
      <c r="D2" s="25">
        <v>200000</v>
      </c>
      <c r="F2" t="s">
        <v>71</v>
      </c>
      <c r="G2" t="s">
        <v>72</v>
      </c>
    </row>
    <row r="3" spans="1:9" x14ac:dyDescent="0.3">
      <c r="A3" s="1">
        <v>2</v>
      </c>
      <c r="B3" s="1" t="s">
        <v>73</v>
      </c>
      <c r="C3" s="1" t="s">
        <v>74</v>
      </c>
      <c r="D3" s="24">
        <v>150000</v>
      </c>
      <c r="F3" t="s">
        <v>75</v>
      </c>
      <c r="G3" t="s">
        <v>76</v>
      </c>
    </row>
    <row r="4" spans="1:9" x14ac:dyDescent="0.3">
      <c r="A4" s="1">
        <v>3</v>
      </c>
      <c r="B4" s="1" t="s">
        <v>77</v>
      </c>
      <c r="C4" s="1" t="s">
        <v>78</v>
      </c>
      <c r="D4" s="24">
        <v>50000</v>
      </c>
      <c r="F4" t="s">
        <v>79</v>
      </c>
      <c r="G4" t="s">
        <v>80</v>
      </c>
    </row>
    <row r="5" spans="1:9" x14ac:dyDescent="0.3">
      <c r="A5" s="1">
        <v>1</v>
      </c>
      <c r="B5" s="1" t="s">
        <v>73</v>
      </c>
      <c r="C5" s="1" t="s">
        <v>70</v>
      </c>
      <c r="D5" s="24">
        <v>75000</v>
      </c>
      <c r="F5" t="s">
        <v>81</v>
      </c>
      <c r="G5" t="s">
        <v>82</v>
      </c>
    </row>
    <row r="6" spans="1:9" x14ac:dyDescent="0.3">
      <c r="A6" s="1">
        <v>2</v>
      </c>
      <c r="B6" s="1" t="s">
        <v>77</v>
      </c>
      <c r="C6" s="1" t="s">
        <v>74</v>
      </c>
      <c r="D6" s="24">
        <v>65000</v>
      </c>
    </row>
    <row r="7" spans="1:9" x14ac:dyDescent="0.3">
      <c r="A7" s="1">
        <v>3</v>
      </c>
      <c r="B7" s="1" t="s">
        <v>83</v>
      </c>
      <c r="C7" s="1" t="s">
        <v>78</v>
      </c>
      <c r="D7" s="24">
        <v>45000</v>
      </c>
    </row>
    <row r="8" spans="1:9" x14ac:dyDescent="0.3">
      <c r="A8" s="1">
        <v>1</v>
      </c>
      <c r="B8" s="1" t="s">
        <v>77</v>
      </c>
      <c r="C8" s="1" t="s">
        <v>70</v>
      </c>
      <c r="D8" s="24">
        <v>120000</v>
      </c>
      <c r="F8" t="s">
        <v>71</v>
      </c>
      <c r="G8" s="33" t="s">
        <v>84</v>
      </c>
      <c r="H8" s="33"/>
      <c r="I8" s="26">
        <f>MAX(D2:D14)</f>
        <v>200000</v>
      </c>
    </row>
    <row r="9" spans="1:9" x14ac:dyDescent="0.3">
      <c r="A9" s="1">
        <v>2</v>
      </c>
      <c r="B9" s="1" t="s">
        <v>69</v>
      </c>
      <c r="C9" s="1" t="s">
        <v>74</v>
      </c>
      <c r="D9" s="24">
        <v>78000</v>
      </c>
      <c r="G9" s="33" t="s">
        <v>85</v>
      </c>
      <c r="H9" s="33"/>
      <c r="I9" s="26">
        <f>MIN(D2:D14)</f>
        <v>45000</v>
      </c>
    </row>
    <row r="10" spans="1:9" x14ac:dyDescent="0.3">
      <c r="A10" s="1">
        <v>3</v>
      </c>
      <c r="B10" s="1" t="s">
        <v>77</v>
      </c>
      <c r="C10" s="1" t="s">
        <v>78</v>
      </c>
      <c r="D10" s="24">
        <v>65000</v>
      </c>
    </row>
    <row r="11" spans="1:9" x14ac:dyDescent="0.3">
      <c r="A11" s="1">
        <v>1</v>
      </c>
      <c r="B11" s="1" t="s">
        <v>83</v>
      </c>
      <c r="C11" s="1" t="s">
        <v>74</v>
      </c>
      <c r="D11" s="24">
        <v>175000</v>
      </c>
      <c r="F11" t="s">
        <v>75</v>
      </c>
      <c r="G11" s="34" t="s">
        <v>86</v>
      </c>
      <c r="H11" s="35"/>
      <c r="I11" s="27">
        <f>_xlfn.MAXIFS(D2:D14,C2:C14,"C")</f>
        <v>95000</v>
      </c>
    </row>
    <row r="12" spans="1:9" x14ac:dyDescent="0.3">
      <c r="A12" s="1">
        <v>3</v>
      </c>
      <c r="B12" s="1" t="s">
        <v>73</v>
      </c>
      <c r="C12" s="1" t="s">
        <v>78</v>
      </c>
      <c r="D12" s="24">
        <v>85000</v>
      </c>
    </row>
    <row r="13" spans="1:9" x14ac:dyDescent="0.3">
      <c r="A13" s="1">
        <v>3</v>
      </c>
      <c r="B13" s="1" t="s">
        <v>69</v>
      </c>
      <c r="C13" s="1" t="s">
        <v>78</v>
      </c>
      <c r="D13" s="24">
        <v>95000</v>
      </c>
      <c r="F13" t="s">
        <v>79</v>
      </c>
      <c r="G13" s="34" t="s">
        <v>87</v>
      </c>
      <c r="H13" s="35"/>
      <c r="I13" s="26">
        <f>_xlfn.MINIFS(D2:D14,B2:B14,"Aveiro")</f>
        <v>50000</v>
      </c>
    </row>
    <row r="14" spans="1:9" x14ac:dyDescent="0.3">
      <c r="A14" s="1">
        <v>4</v>
      </c>
      <c r="B14" s="1" t="s">
        <v>83</v>
      </c>
      <c r="C14" s="1" t="s">
        <v>70</v>
      </c>
      <c r="D14" s="24">
        <v>125000</v>
      </c>
    </row>
    <row r="15" spans="1:9" x14ac:dyDescent="0.3">
      <c r="F15" t="s">
        <v>81</v>
      </c>
      <c r="G15" s="34" t="s">
        <v>88</v>
      </c>
      <c r="H15" s="35"/>
      <c r="I15" s="26">
        <f>_xlfn.MINIFS(D2:D14,C2:C14,"A")</f>
        <v>75000</v>
      </c>
    </row>
  </sheetData>
  <mergeCells count="5">
    <mergeCell ref="G8:H8"/>
    <mergeCell ref="G9:H9"/>
    <mergeCell ref="G11:H11"/>
    <mergeCell ref="G13:H13"/>
    <mergeCell ref="G15:H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B842600A0E964EBE88117445EBED7E" ma:contentTypeVersion="3" ma:contentTypeDescription="Criar um novo documento." ma:contentTypeScope="" ma:versionID="a725027eae200caf851bbd21b1eec2ae">
  <xsd:schema xmlns:xsd="http://www.w3.org/2001/XMLSchema" xmlns:xs="http://www.w3.org/2001/XMLSchema" xmlns:p="http://schemas.microsoft.com/office/2006/metadata/properties" xmlns:ns2="6c96d2b1-6fa3-4456-a494-3ce8b45afc84" targetNamespace="http://schemas.microsoft.com/office/2006/metadata/properties" ma:root="true" ma:fieldsID="6ff97e10b6262e29b4dd2ec9a7639a85" ns2:_="">
    <xsd:import namespace="6c96d2b1-6fa3-4456-a494-3ce8b45afc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6d2b1-6fa3-4456-a494-3ce8b45af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88A1B8-41C1-4894-876C-5371114456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1330E9-B2C3-4079-A7B9-4D2A06714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6d2b1-6fa3-4456-a494-3ce8b45afc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0C67B2-0828-4279-9E78-A7E76BF27E46}">
  <ds:schemaRefs>
    <ds:schemaRef ds:uri="http://schemas.microsoft.com/office/2006/metadata/properties"/>
    <ds:schemaRef ds:uri="http://schemas.microsoft.com/office/infopath/2007/PartnerControls"/>
    <ds:schemaRef ds:uri="8f6831ed-2931-4bcd-a6aa-2b047f5f710d"/>
    <ds:schemaRef ds:uri="39c14e5f-118f-4d3b-b34a-192023e9c0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Ex.01</vt:lpstr>
      <vt:lpstr>Ex.02</vt:lpstr>
      <vt:lpstr>Ex.03</vt:lpstr>
      <vt:lpstr>Ex.04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Nuno</dc:creator>
  <cp:keywords/>
  <dc:description/>
  <cp:lastModifiedBy>Paulo Carvalho</cp:lastModifiedBy>
  <cp:revision/>
  <dcterms:created xsi:type="dcterms:W3CDTF">2015-06-05T18:17:20Z</dcterms:created>
  <dcterms:modified xsi:type="dcterms:W3CDTF">2025-09-18T20:15:10Z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0x0101006CB842600A0E964EBE88117445EBED7E</vt:lpwstr>
  </property>
  <property fmtid="{D5CDD505-2E9C-101B-9397-08002B2CF9AE}" pid="3" name="MediaServiceImageTags">
    <vt:lpwstr/>
  </property>
</Properties>
</file>